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EFA in SPSS (Kak Randy)\"/>
    </mc:Choice>
  </mc:AlternateContent>
  <xr:revisionPtr revIDLastSave="0" documentId="8_{2D466B41-D617-4250-9CF5-DCB47CA8A241}" xr6:coauthVersionLast="47" xr6:coauthVersionMax="47" xr10:uidLastSave="{00000000-0000-0000-0000-000000000000}"/>
  <bookViews>
    <workbookView xWindow="-110" yWindow="-110" windowWidth="19420" windowHeight="10300" firstSheet="3" activeTab="4" xr2:uid="{44CD7F81-550D-43DC-87E6-6AF6A65C30F9}"/>
  </bookViews>
  <sheets>
    <sheet name="Validity Result" sheetId="1" r:id="rId1"/>
    <sheet name="Validity Table" sheetId="3" r:id="rId2"/>
    <sheet name="Reliability Result" sheetId="2" r:id="rId3"/>
    <sheet name="Reliability Table" sheetId="4" r:id="rId4"/>
    <sheet name="Descriptive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3" l="1" a="1"/>
  <c r="D2" i="3" s="1"/>
  <c r="E2" i="3" s="1"/>
  <c r="D3" i="3" a="1"/>
  <c r="D3" i="3" s="1"/>
  <c r="E3" i="3" s="1"/>
  <c r="C3" i="4"/>
  <c r="C4" i="4"/>
  <c r="C5" i="4"/>
  <c r="C6" i="4"/>
  <c r="C7" i="4"/>
  <c r="C8" i="4"/>
  <c r="C9" i="4"/>
  <c r="C10" i="4"/>
  <c r="C11" i="4"/>
  <c r="B4" i="4" a="1"/>
  <c r="B4" i="4"/>
  <c r="B5" i="4" a="1"/>
  <c r="B5" i="4" s="1"/>
  <c r="B6" i="4" a="1"/>
  <c r="B6" i="4" s="1"/>
  <c r="B7" i="4" a="1"/>
  <c r="B7" i="4" s="1"/>
  <c r="B8" i="4" a="1"/>
  <c r="B8" i="4"/>
  <c r="B9" i="4" a="1"/>
  <c r="B9" i="4" s="1"/>
  <c r="B10" i="4" a="1"/>
  <c r="B10" i="4" s="1"/>
  <c r="B11" i="4" a="1"/>
  <c r="B11" i="4" s="1"/>
  <c r="B3" i="4" a="1"/>
  <c r="B3" i="4"/>
  <c r="B2" i="4" a="1"/>
  <c r="B2" i="4"/>
  <c r="C2" i="4"/>
  <c r="BF3" i="3" a="1"/>
  <c r="BF3" i="3" s="1"/>
  <c r="BG3" i="3" s="1"/>
  <c r="BE3" i="3" a="1"/>
  <c r="BE3" i="3" s="1"/>
  <c r="BD3" i="3" a="1"/>
  <c r="BD3" i="3" s="1"/>
  <c r="BF2" i="3" a="1"/>
  <c r="BF2" i="3" s="1"/>
  <c r="BG2" i="3" s="1"/>
  <c r="BE2" i="3" a="1"/>
  <c r="BE2" i="3" s="1"/>
  <c r="BD2" i="3" a="1"/>
  <c r="BD2" i="3" s="1"/>
  <c r="AZ3" i="3" a="1"/>
  <c r="AZ3" i="3" s="1"/>
  <c r="BA3" i="3" s="1"/>
  <c r="AY3" i="3" a="1"/>
  <c r="AY3" i="3" s="1"/>
  <c r="AX3" i="3" a="1"/>
  <c r="AX3" i="3" s="1"/>
  <c r="AZ2" i="3" a="1"/>
  <c r="AZ2" i="3" s="1"/>
  <c r="BA2" i="3" s="1"/>
  <c r="AY2" i="3" a="1"/>
  <c r="AY2" i="3" s="1"/>
  <c r="AX2" i="3" a="1"/>
  <c r="AX2" i="3" s="1"/>
  <c r="AT3" i="3" a="1"/>
  <c r="AT3" i="3" s="1"/>
  <c r="AU3" i="3" s="1"/>
  <c r="AS3" i="3" a="1"/>
  <c r="AS3" i="3" s="1"/>
  <c r="AR3" i="3" a="1"/>
  <c r="AR3" i="3" s="1"/>
  <c r="AT2" i="3" a="1"/>
  <c r="AT2" i="3" s="1"/>
  <c r="AU2" i="3" s="1"/>
  <c r="AS2" i="3" a="1"/>
  <c r="AS2" i="3" s="1"/>
  <c r="AR2" i="3" a="1"/>
  <c r="AR2" i="3" s="1"/>
  <c r="AN3" i="3" a="1"/>
  <c r="AN3" i="3" s="1"/>
  <c r="AO3" i="3" s="1"/>
  <c r="AN4" i="3" a="1"/>
  <c r="AN4" i="3" s="1"/>
  <c r="AO4" i="3" s="1"/>
  <c r="AM3" i="3" a="1"/>
  <c r="AM3" i="3" s="1"/>
  <c r="AM4" i="3" a="1"/>
  <c r="AM4" i="3" s="1"/>
  <c r="AL3" i="3" a="1"/>
  <c r="AL3" i="3" s="1"/>
  <c r="AL4" i="3" a="1"/>
  <c r="AL4" i="3" s="1"/>
  <c r="AN2" i="3" a="1"/>
  <c r="AN2" i="3" s="1"/>
  <c r="AO2" i="3" s="1"/>
  <c r="AM2" i="3" a="1"/>
  <c r="AM2" i="3" s="1"/>
  <c r="AL2" i="3" a="1"/>
  <c r="AL2" i="3" s="1"/>
  <c r="AH3" i="3" a="1"/>
  <c r="AH3" i="3" s="1"/>
  <c r="AI3" i="3" s="1"/>
  <c r="AH4" i="3" a="1"/>
  <c r="AH4" i="3" s="1"/>
  <c r="AI4" i="3" s="1"/>
  <c r="AG3" i="3" a="1"/>
  <c r="AG3" i="3" s="1"/>
  <c r="AG4" i="3" a="1"/>
  <c r="AG4" i="3" s="1"/>
  <c r="AF3" i="3" a="1"/>
  <c r="AF3" i="3" s="1"/>
  <c r="AF4" i="3" a="1"/>
  <c r="AF4" i="3" s="1"/>
  <c r="AH2" i="3" a="1"/>
  <c r="AH2" i="3" s="1"/>
  <c r="AI2" i="3" s="1"/>
  <c r="AG2" i="3" a="1"/>
  <c r="AG2" i="3" s="1"/>
  <c r="AF2" i="3" a="1"/>
  <c r="AF2" i="3" s="1"/>
  <c r="AB3" i="3" a="1"/>
  <c r="AB3" i="3" s="1"/>
  <c r="AC3" i="3" s="1"/>
  <c r="AA3" i="3" a="1"/>
  <c r="AA3" i="3" s="1"/>
  <c r="Z3" i="3" a="1"/>
  <c r="Z3" i="3" s="1"/>
  <c r="AB2" i="3" a="1"/>
  <c r="AB2" i="3" s="1"/>
  <c r="AC2" i="3" s="1"/>
  <c r="AA2" i="3" a="1"/>
  <c r="AA2" i="3" s="1"/>
  <c r="Z2" i="3" a="1"/>
  <c r="Z2" i="3" s="1"/>
  <c r="V3" i="3" a="1"/>
  <c r="V3" i="3" s="1"/>
  <c r="W3" i="3" s="1"/>
  <c r="V4" i="3" a="1"/>
  <c r="V4" i="3" s="1"/>
  <c r="W4" i="3" s="1"/>
  <c r="U3" i="3" a="1"/>
  <c r="U3" i="3" s="1"/>
  <c r="U4" i="3" a="1"/>
  <c r="U4" i="3" s="1"/>
  <c r="T3" i="3" a="1"/>
  <c r="T3" i="3" s="1"/>
  <c r="T4" i="3" a="1"/>
  <c r="T4" i="3" s="1"/>
  <c r="V2" i="3" a="1"/>
  <c r="V2" i="3" s="1"/>
  <c r="W2" i="3" s="1"/>
  <c r="U2" i="3" a="1"/>
  <c r="U2" i="3" s="1"/>
  <c r="T2" i="3" a="1"/>
  <c r="T2" i="3" s="1"/>
  <c r="P3" i="3" a="1"/>
  <c r="P3" i="3" s="1"/>
  <c r="Q3" i="3" s="1"/>
  <c r="P4" i="3" a="1"/>
  <c r="P4" i="3" s="1"/>
  <c r="Q4" i="3" s="1"/>
  <c r="O4" i="3" a="1"/>
  <c r="O4" i="3" s="1"/>
  <c r="O3" i="3" a="1"/>
  <c r="O3" i="3" s="1"/>
  <c r="N3" i="3" a="1"/>
  <c r="N3" i="3" s="1"/>
  <c r="N4" i="3" a="1"/>
  <c r="N4" i="3" s="1"/>
  <c r="P2" i="3" a="1"/>
  <c r="P2" i="3" s="1"/>
  <c r="Q2" i="3" s="1"/>
  <c r="O2" i="3" a="1"/>
  <c r="O2" i="3" s="1"/>
  <c r="N2" i="3" a="1"/>
  <c r="N2" i="3" s="1"/>
  <c r="J4" i="3" a="1"/>
  <c r="J4" i="3" s="1"/>
  <c r="K4" i="3" s="1"/>
  <c r="J3" i="3" a="1"/>
  <c r="J3" i="3" s="1"/>
  <c r="K3" i="3" s="1"/>
  <c r="I4" i="3" a="1"/>
  <c r="I4" i="3" s="1"/>
  <c r="H4" i="3" a="1"/>
  <c r="H4" i="3" s="1"/>
  <c r="I3" i="3" a="1"/>
  <c r="I3" i="3" s="1"/>
  <c r="H3" i="3" a="1"/>
  <c r="H3" i="3" s="1"/>
  <c r="J2" i="3" a="1"/>
  <c r="J2" i="3" s="1"/>
  <c r="K2" i="3" s="1"/>
  <c r="I2" i="3" a="1"/>
  <c r="I2" i="3" s="1"/>
  <c r="H2" i="3" a="1"/>
  <c r="H2" i="3" s="1"/>
  <c r="C2" i="3" a="1"/>
  <c r="C2" i="3" s="1"/>
  <c r="C3" i="3" a="1"/>
  <c r="C3" i="3" s="1"/>
  <c r="B2" i="3" a="1"/>
  <c r="B2" i="3" s="1"/>
  <c r="B3" i="3" a="1"/>
  <c r="B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<sst xmlns="http://schemas.openxmlformats.org/spreadsheetml/2006/main" count="458" uniqueCount="126">
  <si>
    <t/>
  </si>
  <si>
    <t>Correlations</t>
  </si>
  <si>
    <t>AF1</t>
  </si>
  <si>
    <t>AF2</t>
  </si>
  <si>
    <t>AF</t>
  </si>
  <si>
    <t>Pearson Correlation</t>
  </si>
  <si>
    <t>Sig. (2-tailed)</t>
  </si>
  <si>
    <t>N</t>
  </si>
  <si>
    <t>**. Correlation is significant at the 0.01 level (2-tailed).</t>
  </si>
  <si>
    <t>CCC1</t>
  </si>
  <si>
    <t>CCC2</t>
  </si>
  <si>
    <t>CCC3</t>
  </si>
  <si>
    <t>CCC</t>
  </si>
  <si>
    <t>CC1</t>
  </si>
  <si>
    <t>CC2</t>
  </si>
  <si>
    <t>CC3</t>
  </si>
  <si>
    <t>CC</t>
  </si>
  <si>
    <t>*. Correlation is significant at the 0.05 level (2-tailed).</t>
  </si>
  <si>
    <t>PTIC1</t>
  </si>
  <si>
    <t>PTIC2</t>
  </si>
  <si>
    <t>PTIC3</t>
  </si>
  <si>
    <t>PTIC</t>
  </si>
  <si>
    <t>CDTE1</t>
  </si>
  <si>
    <t>CDTE2</t>
  </si>
  <si>
    <t>CDTE</t>
  </si>
  <si>
    <t>PTC1</t>
  </si>
  <si>
    <t>PTC2</t>
  </si>
  <si>
    <t>PTC3</t>
  </si>
  <si>
    <t>PTC</t>
  </si>
  <si>
    <t>RHM1</t>
  </si>
  <si>
    <t>RHM2</t>
  </si>
  <si>
    <t>RHM3</t>
  </si>
  <si>
    <t>RHM</t>
  </si>
  <si>
    <t>CLC1</t>
  </si>
  <si>
    <t>CLC2</t>
  </si>
  <si>
    <t>CLC</t>
  </si>
  <si>
    <t>LDM1</t>
  </si>
  <si>
    <t>LDM2</t>
  </si>
  <si>
    <t>LDM</t>
  </si>
  <si>
    <t>PCS1</t>
  </si>
  <si>
    <t>PCS2</t>
  </si>
  <si>
    <t>PCS</t>
  </si>
  <si>
    <t>Reliability Statistics</t>
  </si>
  <si>
    <t>Cronbach's Alpha</t>
  </si>
  <si>
    <t>N of Items</t>
  </si>
  <si>
    <t>Indikator</t>
  </si>
  <si>
    <t>Pearson</t>
  </si>
  <si>
    <t>p-value</t>
  </si>
  <si>
    <t>Keterangan</t>
  </si>
  <si>
    <t>0,853**</t>
  </si>
  <si>
    <t>0,965**</t>
  </si>
  <si>
    <t>0,960**</t>
  </si>
  <si>
    <t>0,900**</t>
  </si>
  <si>
    <t>0,767**</t>
  </si>
  <si>
    <t>0,952**</t>
  </si>
  <si>
    <t>0,818**</t>
  </si>
  <si>
    <t>0,967**</t>
  </si>
  <si>
    <t>0,903**</t>
  </si>
  <si>
    <t>0,290*</t>
  </si>
  <si>
    <t>0,346*</t>
  </si>
  <si>
    <t>0,678**</t>
  </si>
  <si>
    <t>0,740**</t>
  </si>
  <si>
    <t>0,721**</t>
  </si>
  <si>
    <t>0,579**</t>
  </si>
  <si>
    <t>0,861**</t>
  </si>
  <si>
    <t>0,539**</t>
  </si>
  <si>
    <t>0,811**</t>
  </si>
  <si>
    <t>0,708**</t>
  </si>
  <si>
    <t>0,930**</t>
  </si>
  <si>
    <t>0,918**</t>
  </si>
  <si>
    <t>0,691**</t>
  </si>
  <si>
    <t>0,660**</t>
  </si>
  <si>
    <t>0,856**</t>
  </si>
  <si>
    <t>0,653**</t>
  </si>
  <si>
    <t>0,872**</t>
  </si>
  <si>
    <t>0,910**</t>
  </si>
  <si>
    <t>0,725**</t>
  </si>
  <si>
    <t>0,350**</t>
  </si>
  <si>
    <t>0,835**</t>
  </si>
  <si>
    <t>0,380**</t>
  </si>
  <si>
    <t>0,846**</t>
  </si>
  <si>
    <t>0,747**</t>
  </si>
  <si>
    <t>0,496**</t>
  </si>
  <si>
    <t>0,855**</t>
  </si>
  <si>
    <t>0,875**</t>
  </si>
  <si>
    <t>0,495**</t>
  </si>
  <si>
    <t>0,832**</t>
  </si>
  <si>
    <t>0,894**</t>
  </si>
  <si>
    <t>0,370**</t>
  </si>
  <si>
    <t>0,876**</t>
  </si>
  <si>
    <t>0,772**</t>
  </si>
  <si>
    <t>Variabel</t>
  </si>
  <si>
    <t>Adequate Funding</t>
  </si>
  <si>
    <t>Client’s Competence and Commitment</t>
  </si>
  <si>
    <t>Contractor’s Competence</t>
  </si>
  <si>
    <t>Project Team Integration and Communication</t>
  </si>
  <si>
    <t>Consultant/ Design Team Expertise</t>
  </si>
  <si>
    <t>Project Team Commitment</t>
  </si>
  <si>
    <t>Risk and Hindrance Management</t>
  </si>
  <si>
    <t>Contractual and Legal Clarity</t>
  </si>
  <si>
    <t>Leadership and Decision-Making</t>
  </si>
  <si>
    <t>Planning and Control System</t>
  </si>
  <si>
    <t>Minimum</t>
  </si>
  <si>
    <t>Maximum</t>
  </si>
  <si>
    <t>Mean</t>
  </si>
  <si>
    <t>Std. Deviation</t>
  </si>
  <si>
    <t>PTDKBAI</t>
  </si>
  <si>
    <t>KTKKESGC</t>
  </si>
  <si>
    <t>FKMPR</t>
  </si>
  <si>
    <t>RISBL</t>
  </si>
  <si>
    <t>TAEPT</t>
  </si>
  <si>
    <t>KSSP</t>
  </si>
  <si>
    <t>KRPML</t>
  </si>
  <si>
    <t>KRPDL</t>
  </si>
  <si>
    <t>PKTPSD</t>
  </si>
  <si>
    <t>KLBUMNSPD</t>
  </si>
  <si>
    <t>Pemanfaatan Teknologi Digital dan Kecerdasan Buatan (AI) </t>
  </si>
  <si>
    <t>Kesiapan Tata Kelola Keberlanjutan (ESG Compliance)</t>
  </si>
  <si>
    <t>Fleksibilitas Kontrak dalam Menghadapi Perubahan Regulasi</t>
  </si>
  <si>
    <t>Responsivitas terhadap Isu Sosial dan Budaya Lokal </t>
  </si>
  <si>
    <t>Tingkat Adopsi E-Procurement Terintegrasi  </t>
  </si>
  <si>
    <t>Keamanan Siber pada Sistem Proyek </t>
  </si>
  <si>
    <t>Ketahanan Rantai Pasok Material Lokal </t>
  </si>
  <si>
    <t>Kecepatan Respons terhadap Perubahan Desain di Lapangan</t>
  </si>
  <si>
    <t>Peningkatan Kompetensi Tim Proyek melalui Sertifikasi Digital</t>
  </si>
  <si>
    <t>Kolaborasi Lintas BUMN dan Stakeholder Pemerintah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</si>
</sst>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##0.000"/>
    <numFmt numFmtId="166" formatCode="0.00000E+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60"/>
      <name val="Arial Bold"/>
    </font>
    <font>
      <sz val="9"/>
      <color indexed="62"/>
      <name val="Arial"/>
      <family val="2"/>
    </font>
    <font>
      <sz val="9"/>
      <color indexed="6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20212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61"/>
      </top>
      <bottom style="thin">
        <color indexed="61"/>
      </bottom>
      <diagonal/>
    </border>
    <border>
      <left style="thin">
        <color indexed="63"/>
      </left>
      <right/>
      <top style="thin">
        <color indexed="61"/>
      </top>
      <bottom style="thin">
        <color indexed="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1">
    <xf numFmtId="0" fontId="0" fillId="0" borderId="0" xfId="0"/>
    <xf numFmtId="0" fontId="1" fillId="0" borderId="0" xfId="1"/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2" borderId="6" xfId="1" applyFont="1" applyFill="1" applyBorder="1" applyAlignment="1">
      <alignment horizontal="left" vertical="top" wrapText="1"/>
    </xf>
    <xf numFmtId="164" fontId="4" fillId="0" borderId="7" xfId="1" applyNumberFormat="1" applyFont="1" applyBorder="1" applyAlignment="1">
      <alignment horizontal="right" vertical="top"/>
    </xf>
    <xf numFmtId="0" fontId="4" fillId="0" borderId="8" xfId="1" applyFont="1" applyBorder="1" applyAlignment="1">
      <alignment horizontal="right" vertical="top"/>
    </xf>
    <xf numFmtId="0" fontId="4" fillId="0" borderId="9" xfId="1" applyFont="1" applyBorder="1" applyAlignment="1">
      <alignment horizontal="right" vertical="top"/>
    </xf>
    <xf numFmtId="0" fontId="3" fillId="2" borderId="10" xfId="1" applyFont="1" applyFill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165" fontId="4" fillId="0" borderId="12" xfId="1" applyNumberFormat="1" applyFont="1" applyBorder="1" applyAlignment="1">
      <alignment horizontal="right" vertical="top"/>
    </xf>
    <xf numFmtId="165" fontId="4" fillId="0" borderId="13" xfId="1" applyNumberFormat="1" applyFont="1" applyBorder="1" applyAlignment="1">
      <alignment horizontal="right" vertical="top"/>
    </xf>
    <xf numFmtId="0" fontId="3" fillId="2" borderId="14" xfId="1" applyFont="1" applyFill="1" applyBorder="1" applyAlignment="1">
      <alignment horizontal="left" vertical="top" wrapText="1"/>
    </xf>
    <xf numFmtId="164" fontId="4" fillId="0" borderId="15" xfId="1" applyNumberFormat="1" applyFont="1" applyBorder="1" applyAlignment="1">
      <alignment horizontal="right" vertical="top"/>
    </xf>
    <xf numFmtId="164" fontId="4" fillId="0" borderId="16" xfId="1" applyNumberFormat="1" applyFont="1" applyBorder="1" applyAlignment="1">
      <alignment horizontal="right" vertical="top"/>
    </xf>
    <xf numFmtId="164" fontId="4" fillId="0" borderId="17" xfId="1" applyNumberFormat="1" applyFont="1" applyBorder="1" applyAlignment="1">
      <alignment horizontal="right" vertical="top"/>
    </xf>
    <xf numFmtId="0" fontId="4" fillId="0" borderId="11" xfId="1" applyFont="1" applyBorder="1" applyAlignment="1">
      <alignment horizontal="right" vertical="top"/>
    </xf>
    <xf numFmtId="164" fontId="4" fillId="0" borderId="12" xfId="1" applyNumberFormat="1" applyFont="1" applyBorder="1" applyAlignment="1">
      <alignment horizontal="right" vertical="top"/>
    </xf>
    <xf numFmtId="0" fontId="4" fillId="0" borderId="13" xfId="1" applyFont="1" applyBorder="1" applyAlignment="1">
      <alignment horizontal="right" vertical="top"/>
    </xf>
    <xf numFmtId="165" fontId="4" fillId="0" borderId="11" xfId="1" applyNumberFormat="1" applyFont="1" applyBorder="1" applyAlignment="1">
      <alignment horizontal="right" vertical="top"/>
    </xf>
    <xf numFmtId="0" fontId="4" fillId="0" borderId="12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right" vertical="top"/>
    </xf>
    <xf numFmtId="164" fontId="4" fillId="0" borderId="13" xfId="1" applyNumberFormat="1" applyFont="1" applyBorder="1" applyAlignment="1">
      <alignment horizontal="right" vertical="top"/>
    </xf>
    <xf numFmtId="0" fontId="4" fillId="0" borderId="13" xfId="1" applyFont="1" applyBorder="1" applyAlignment="1">
      <alignment horizontal="left" vertical="top" wrapText="1"/>
    </xf>
    <xf numFmtId="0" fontId="3" fillId="2" borderId="18" xfId="1" applyFont="1" applyFill="1" applyBorder="1" applyAlignment="1">
      <alignment horizontal="left" vertical="top" wrapText="1"/>
    </xf>
    <xf numFmtId="164" fontId="4" fillId="0" borderId="19" xfId="1" applyNumberFormat="1" applyFont="1" applyBorder="1" applyAlignment="1">
      <alignment horizontal="right" vertical="top"/>
    </xf>
    <xf numFmtId="164" fontId="4" fillId="0" borderId="20" xfId="1" applyNumberFormat="1" applyFont="1" applyBorder="1" applyAlignment="1">
      <alignment horizontal="right" vertical="top"/>
    </xf>
    <xf numFmtId="164" fontId="4" fillId="0" borderId="21" xfId="1" applyNumberFormat="1" applyFont="1" applyBorder="1" applyAlignment="1">
      <alignment horizontal="right" vertical="top"/>
    </xf>
    <xf numFmtId="0" fontId="1" fillId="0" borderId="0" xfId="2"/>
    <xf numFmtId="0" fontId="3" fillId="0" borderId="2" xfId="2" applyFont="1" applyBorder="1" applyAlignment="1">
      <alignment horizontal="center" wrapText="1"/>
    </xf>
    <xf numFmtId="0" fontId="3" fillId="0" borderId="4" xfId="2" applyFont="1" applyBorder="1" applyAlignment="1">
      <alignment horizontal="center" wrapText="1"/>
    </xf>
    <xf numFmtId="165" fontId="4" fillId="0" borderId="22" xfId="2" applyNumberFormat="1" applyFont="1" applyBorder="1" applyAlignment="1">
      <alignment horizontal="right" vertical="top"/>
    </xf>
    <xf numFmtId="164" fontId="4" fillId="0" borderId="23" xfId="2" applyNumberFormat="1" applyFont="1" applyBorder="1" applyAlignment="1">
      <alignment horizontal="right" vertical="top"/>
    </xf>
    <xf numFmtId="0" fontId="5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166" fontId="5" fillId="0" borderId="24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5" fillId="0" borderId="24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left" wrapText="1"/>
    </xf>
    <xf numFmtId="0" fontId="3" fillId="2" borderId="5" xfId="1" applyFont="1" applyFill="1" applyBorder="1" applyAlignment="1">
      <alignment horizontal="left" vertical="top" wrapText="1"/>
    </xf>
    <xf numFmtId="0" fontId="3" fillId="2" borderId="10" xfId="1" applyFont="1" applyFill="1" applyBorder="1" applyAlignment="1">
      <alignment horizontal="left" vertical="top" wrapText="1"/>
    </xf>
    <xf numFmtId="0" fontId="3" fillId="2" borderId="14" xfId="1" applyFont="1" applyFill="1" applyBorder="1" applyAlignment="1">
      <alignment horizontal="left" vertical="top" wrapText="1"/>
    </xf>
    <xf numFmtId="0" fontId="3" fillId="2" borderId="18" xfId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5" fillId="0" borderId="24" xfId="0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</cellXfs>
  <cellStyles count="3">
    <cellStyle name="Normal" xfId="0" builtinId="0"/>
    <cellStyle name="Normal_Sheet1" xfId="1" xr:uid="{DD6F9171-1446-4D4C-8F85-E1662AE67A5F}"/>
    <cellStyle name="Normal_Sheet2" xfId="2" xr:uid="{D14F546D-3DED-4DA9-80CC-A7045F5AF8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1BDC-69EA-45CD-8880-342A33FF23E5}">
  <dimension ref="A1:BM43"/>
  <sheetViews>
    <sheetView workbookViewId="0">
      <selection activeCell="F3" sqref="F3"/>
    </sheetView>
  </sheetViews>
  <sheetFormatPr defaultRowHeight="14.5" x14ac:dyDescent="0.35"/>
  <sheetData>
    <row r="1" spans="1:65" x14ac:dyDescent="0.35">
      <c r="A1" s="42" t="s">
        <v>1</v>
      </c>
      <c r="B1" s="42"/>
      <c r="C1" s="42"/>
      <c r="D1" s="42"/>
      <c r="E1" s="42"/>
      <c r="F1" s="1"/>
      <c r="G1" s="42" t="s">
        <v>1</v>
      </c>
      <c r="H1" s="42"/>
      <c r="I1" s="42"/>
      <c r="J1" s="42"/>
      <c r="K1" s="42"/>
      <c r="L1" s="42"/>
      <c r="N1" s="42" t="s">
        <v>1</v>
      </c>
      <c r="O1" s="42"/>
      <c r="P1" s="42"/>
      <c r="Q1" s="42"/>
      <c r="R1" s="42"/>
      <c r="S1" s="42"/>
      <c r="U1" s="42" t="s">
        <v>1</v>
      </c>
      <c r="V1" s="42"/>
      <c r="W1" s="42"/>
      <c r="X1" s="42"/>
      <c r="Y1" s="42"/>
      <c r="Z1" s="42"/>
      <c r="AA1" s="1"/>
      <c r="AB1" s="42" t="s">
        <v>1</v>
      </c>
      <c r="AC1" s="42"/>
      <c r="AD1" s="42"/>
      <c r="AE1" s="42"/>
      <c r="AF1" s="42"/>
      <c r="AG1" s="1"/>
      <c r="AH1" s="42" t="s">
        <v>1</v>
      </c>
      <c r="AI1" s="42"/>
      <c r="AJ1" s="42"/>
      <c r="AK1" s="42"/>
      <c r="AL1" s="42"/>
      <c r="AM1" s="42"/>
      <c r="AN1" s="1"/>
      <c r="AO1" s="42" t="s">
        <v>1</v>
      </c>
      <c r="AP1" s="42"/>
      <c r="AQ1" s="42"/>
      <c r="AR1" s="42"/>
      <c r="AS1" s="42"/>
      <c r="AT1" s="42"/>
      <c r="AU1" s="1"/>
      <c r="AV1" s="42" t="s">
        <v>1</v>
      </c>
      <c r="AW1" s="42"/>
      <c r="AX1" s="42"/>
      <c r="AY1" s="42"/>
      <c r="AZ1" s="42"/>
      <c r="BA1" s="1"/>
      <c r="BB1" s="42" t="s">
        <v>1</v>
      </c>
      <c r="BC1" s="42"/>
      <c r="BD1" s="42"/>
      <c r="BE1" s="42"/>
      <c r="BF1" s="42"/>
      <c r="BG1" s="1"/>
      <c r="BH1" s="42" t="s">
        <v>1</v>
      </c>
      <c r="BI1" s="42"/>
      <c r="BJ1" s="42"/>
      <c r="BK1" s="42"/>
      <c r="BL1" s="42"/>
      <c r="BM1" s="1"/>
    </row>
    <row r="2" spans="1:65" x14ac:dyDescent="0.35">
      <c r="A2" s="43" t="s">
        <v>0</v>
      </c>
      <c r="B2" s="43"/>
      <c r="C2" s="2" t="s">
        <v>2</v>
      </c>
      <c r="D2" s="3" t="s">
        <v>3</v>
      </c>
      <c r="E2" s="4" t="s">
        <v>4</v>
      </c>
      <c r="F2" s="1"/>
      <c r="G2" s="43" t="s">
        <v>0</v>
      </c>
      <c r="H2" s="43"/>
      <c r="I2" s="2" t="s">
        <v>9</v>
      </c>
      <c r="J2" s="3" t="s">
        <v>10</v>
      </c>
      <c r="K2" s="3" t="s">
        <v>11</v>
      </c>
      <c r="L2" s="4" t="s">
        <v>12</v>
      </c>
      <c r="N2" s="43" t="s">
        <v>0</v>
      </c>
      <c r="O2" s="43"/>
      <c r="P2" s="2" t="s">
        <v>13</v>
      </c>
      <c r="Q2" s="3" t="s">
        <v>14</v>
      </c>
      <c r="R2" s="3" t="s">
        <v>15</v>
      </c>
      <c r="S2" s="4" t="s">
        <v>16</v>
      </c>
      <c r="U2" s="43" t="s">
        <v>0</v>
      </c>
      <c r="V2" s="43"/>
      <c r="W2" s="2" t="s">
        <v>18</v>
      </c>
      <c r="X2" s="3" t="s">
        <v>19</v>
      </c>
      <c r="Y2" s="3" t="s">
        <v>20</v>
      </c>
      <c r="Z2" s="4" t="s">
        <v>21</v>
      </c>
      <c r="AA2" s="1"/>
      <c r="AB2" s="43" t="s">
        <v>0</v>
      </c>
      <c r="AC2" s="43"/>
      <c r="AD2" s="2" t="s">
        <v>22</v>
      </c>
      <c r="AE2" s="3" t="s">
        <v>23</v>
      </c>
      <c r="AF2" s="4" t="s">
        <v>24</v>
      </c>
      <c r="AG2" s="1"/>
      <c r="AH2" s="43" t="s">
        <v>0</v>
      </c>
      <c r="AI2" s="43"/>
      <c r="AJ2" s="2" t="s">
        <v>25</v>
      </c>
      <c r="AK2" s="3" t="s">
        <v>26</v>
      </c>
      <c r="AL2" s="3" t="s">
        <v>27</v>
      </c>
      <c r="AM2" s="4" t="s">
        <v>28</v>
      </c>
      <c r="AN2" s="1"/>
      <c r="AO2" s="43" t="s">
        <v>0</v>
      </c>
      <c r="AP2" s="43"/>
      <c r="AQ2" s="2" t="s">
        <v>29</v>
      </c>
      <c r="AR2" s="3" t="s">
        <v>30</v>
      </c>
      <c r="AS2" s="3" t="s">
        <v>31</v>
      </c>
      <c r="AT2" s="4" t="s">
        <v>32</v>
      </c>
      <c r="AU2" s="1"/>
      <c r="AV2" s="43" t="s">
        <v>0</v>
      </c>
      <c r="AW2" s="43"/>
      <c r="AX2" s="2" t="s">
        <v>33</v>
      </c>
      <c r="AY2" s="3" t="s">
        <v>34</v>
      </c>
      <c r="AZ2" s="4" t="s">
        <v>35</v>
      </c>
      <c r="BA2" s="1"/>
      <c r="BB2" s="43" t="s">
        <v>0</v>
      </c>
      <c r="BC2" s="43"/>
      <c r="BD2" s="2" t="s">
        <v>36</v>
      </c>
      <c r="BE2" s="3" t="s">
        <v>37</v>
      </c>
      <c r="BF2" s="4" t="s">
        <v>38</v>
      </c>
      <c r="BG2" s="1"/>
      <c r="BH2" s="43" t="s">
        <v>0</v>
      </c>
      <c r="BI2" s="43"/>
      <c r="BJ2" s="2" t="s">
        <v>39</v>
      </c>
      <c r="BK2" s="3" t="s">
        <v>40</v>
      </c>
      <c r="BL2" s="4" t="s">
        <v>41</v>
      </c>
      <c r="BM2" s="1"/>
    </row>
    <row r="3" spans="1:65" ht="34.5" x14ac:dyDescent="0.35">
      <c r="A3" s="44" t="s">
        <v>2</v>
      </c>
      <c r="B3" s="5" t="s">
        <v>5</v>
      </c>
      <c r="C3" s="6">
        <v>1</v>
      </c>
      <c r="D3" s="7" t="s">
        <v>49</v>
      </c>
      <c r="E3" s="8" t="s">
        <v>50</v>
      </c>
      <c r="F3" s="1"/>
      <c r="G3" s="44" t="s">
        <v>9</v>
      </c>
      <c r="H3" s="5" t="s">
        <v>5</v>
      </c>
      <c r="I3" s="6">
        <v>1</v>
      </c>
      <c r="J3" s="7" t="s">
        <v>52</v>
      </c>
      <c r="K3" s="7" t="s">
        <v>53</v>
      </c>
      <c r="L3" s="8" t="s">
        <v>54</v>
      </c>
      <c r="N3" s="44" t="s">
        <v>13</v>
      </c>
      <c r="O3" s="5" t="s">
        <v>5</v>
      </c>
      <c r="P3" s="6">
        <v>1</v>
      </c>
      <c r="Q3" s="7" t="s">
        <v>58</v>
      </c>
      <c r="R3" s="7" t="s">
        <v>59</v>
      </c>
      <c r="S3" s="8" t="s">
        <v>60</v>
      </c>
      <c r="U3" s="44" t="s">
        <v>18</v>
      </c>
      <c r="V3" s="5" t="s">
        <v>5</v>
      </c>
      <c r="W3" s="6">
        <v>1</v>
      </c>
      <c r="X3" s="7" t="s">
        <v>63</v>
      </c>
      <c r="Y3" s="7" t="s">
        <v>63</v>
      </c>
      <c r="Z3" s="8" t="s">
        <v>64</v>
      </c>
      <c r="AA3" s="1"/>
      <c r="AB3" s="44" t="s">
        <v>22</v>
      </c>
      <c r="AC3" s="5" t="s">
        <v>5</v>
      </c>
      <c r="AD3" s="6">
        <v>1</v>
      </c>
      <c r="AE3" s="7" t="s">
        <v>67</v>
      </c>
      <c r="AF3" s="8" t="s">
        <v>68</v>
      </c>
      <c r="AG3" s="1"/>
      <c r="AH3" s="44" t="s">
        <v>25</v>
      </c>
      <c r="AI3" s="5" t="s">
        <v>5</v>
      </c>
      <c r="AJ3" s="6">
        <v>1</v>
      </c>
      <c r="AK3" s="7" t="s">
        <v>70</v>
      </c>
      <c r="AL3" s="7" t="s">
        <v>71</v>
      </c>
      <c r="AM3" s="8" t="s">
        <v>72</v>
      </c>
      <c r="AN3" s="1"/>
      <c r="AO3" s="44" t="s">
        <v>29</v>
      </c>
      <c r="AP3" s="5" t="s">
        <v>5</v>
      </c>
      <c r="AQ3" s="6">
        <v>1</v>
      </c>
      <c r="AR3" s="7" t="s">
        <v>76</v>
      </c>
      <c r="AS3" s="7" t="s">
        <v>77</v>
      </c>
      <c r="AT3" s="8" t="s">
        <v>78</v>
      </c>
      <c r="AU3" s="1"/>
      <c r="AV3" s="44" t="s">
        <v>33</v>
      </c>
      <c r="AW3" s="5" t="s">
        <v>5</v>
      </c>
      <c r="AX3" s="6">
        <v>1</v>
      </c>
      <c r="AY3" s="7" t="s">
        <v>82</v>
      </c>
      <c r="AZ3" s="8" t="s">
        <v>83</v>
      </c>
      <c r="BA3" s="1"/>
      <c r="BB3" s="44" t="s">
        <v>36</v>
      </c>
      <c r="BC3" s="5" t="s">
        <v>5</v>
      </c>
      <c r="BD3" s="6">
        <v>1</v>
      </c>
      <c r="BE3" s="7" t="s">
        <v>85</v>
      </c>
      <c r="BF3" s="8" t="s">
        <v>86</v>
      </c>
      <c r="BG3" s="1"/>
      <c r="BH3" s="44" t="s">
        <v>39</v>
      </c>
      <c r="BI3" s="5" t="s">
        <v>5</v>
      </c>
      <c r="BJ3" s="6">
        <v>1</v>
      </c>
      <c r="BK3" s="7" t="s">
        <v>88</v>
      </c>
      <c r="BL3" s="8" t="s">
        <v>89</v>
      </c>
      <c r="BM3" s="1"/>
    </row>
    <row r="4" spans="1:65" ht="23" x14ac:dyDescent="0.35">
      <c r="A4" s="45"/>
      <c r="B4" s="9" t="s">
        <v>6</v>
      </c>
      <c r="C4" s="10"/>
      <c r="D4" s="11">
        <v>2.5883832063576138E-16</v>
      </c>
      <c r="E4" s="12">
        <v>7.7488886685920085E-32</v>
      </c>
      <c r="F4" s="1"/>
      <c r="G4" s="45"/>
      <c r="H4" s="9" t="s">
        <v>6</v>
      </c>
      <c r="I4" s="10"/>
      <c r="J4" s="11">
        <v>1.9491673967915657E-20</v>
      </c>
      <c r="K4" s="11">
        <v>1.2998910588082439E-11</v>
      </c>
      <c r="L4" s="12">
        <v>2.0290924417611646E-28</v>
      </c>
      <c r="N4" s="45"/>
      <c r="O4" s="9" t="s">
        <v>6</v>
      </c>
      <c r="P4" s="10"/>
      <c r="Q4" s="11">
        <v>3.3188763824416795E-2</v>
      </c>
      <c r="R4" s="11">
        <v>1.0287574036503848E-2</v>
      </c>
      <c r="S4" s="12">
        <v>1.7623273433111993E-8</v>
      </c>
      <c r="U4" s="45"/>
      <c r="V4" s="9" t="s">
        <v>6</v>
      </c>
      <c r="W4" s="10"/>
      <c r="X4" s="11">
        <v>4.5427798173270317E-6</v>
      </c>
      <c r="Y4" s="11">
        <v>4.41168056249525E-6</v>
      </c>
      <c r="Z4" s="12">
        <v>6.589895552598664E-17</v>
      </c>
      <c r="AA4" s="1"/>
      <c r="AB4" s="45"/>
      <c r="AC4" s="9" t="s">
        <v>6</v>
      </c>
      <c r="AD4" s="10"/>
      <c r="AE4" s="11">
        <v>2.1529194308066614E-9</v>
      </c>
      <c r="AF4" s="12">
        <v>3.3426829246958142E-24</v>
      </c>
      <c r="AG4" s="1"/>
      <c r="AH4" s="45"/>
      <c r="AI4" s="9" t="s">
        <v>6</v>
      </c>
      <c r="AJ4" s="10"/>
      <c r="AK4" s="11">
        <v>7.1339694917855396E-9</v>
      </c>
      <c r="AL4" s="11">
        <v>5.8133805331234554E-8</v>
      </c>
      <c r="AM4" s="12">
        <v>1.486471593946895E-16</v>
      </c>
      <c r="AN4" s="1"/>
      <c r="AO4" s="45"/>
      <c r="AP4" s="9" t="s">
        <v>6</v>
      </c>
      <c r="AQ4" s="10"/>
      <c r="AR4" s="11">
        <v>5.4552209397974584E-10</v>
      </c>
      <c r="AS4" s="11">
        <v>9.5382230613807843E-3</v>
      </c>
      <c r="AT4" s="12">
        <v>4.4459020432065006E-15</v>
      </c>
      <c r="AU4" s="1"/>
      <c r="AV4" s="45"/>
      <c r="AW4" s="9" t="s">
        <v>6</v>
      </c>
      <c r="AX4" s="10"/>
      <c r="AY4" s="11">
        <v>1.3488092705604029E-4</v>
      </c>
      <c r="AZ4" s="12">
        <v>1.8691546722399598E-16</v>
      </c>
      <c r="BA4" s="1"/>
      <c r="BB4" s="45"/>
      <c r="BC4" s="9" t="s">
        <v>6</v>
      </c>
      <c r="BD4" s="10"/>
      <c r="BE4" s="11">
        <v>1.4168642789287147E-4</v>
      </c>
      <c r="BF4" s="12">
        <v>6.0746052398569436E-15</v>
      </c>
      <c r="BG4" s="1"/>
      <c r="BH4" s="45"/>
      <c r="BI4" s="9" t="s">
        <v>6</v>
      </c>
      <c r="BJ4" s="10"/>
      <c r="BK4" s="11">
        <v>5.9127957164195498E-3</v>
      </c>
      <c r="BL4" s="12">
        <v>4.2683253802511655E-18</v>
      </c>
      <c r="BM4" s="1"/>
    </row>
    <row r="5" spans="1:65" x14ac:dyDescent="0.35">
      <c r="A5" s="46"/>
      <c r="B5" s="13" t="s">
        <v>7</v>
      </c>
      <c r="C5" s="14">
        <v>54</v>
      </c>
      <c r="D5" s="15">
        <v>54</v>
      </c>
      <c r="E5" s="16">
        <v>54</v>
      </c>
      <c r="F5" s="1"/>
      <c r="G5" s="46"/>
      <c r="H5" s="13" t="s">
        <v>7</v>
      </c>
      <c r="I5" s="14">
        <v>54</v>
      </c>
      <c r="J5" s="15">
        <v>54</v>
      </c>
      <c r="K5" s="15">
        <v>54</v>
      </c>
      <c r="L5" s="16">
        <v>54</v>
      </c>
      <c r="N5" s="46"/>
      <c r="O5" s="13" t="s">
        <v>7</v>
      </c>
      <c r="P5" s="14">
        <v>54</v>
      </c>
      <c r="Q5" s="15">
        <v>54</v>
      </c>
      <c r="R5" s="15">
        <v>54</v>
      </c>
      <c r="S5" s="16">
        <v>54</v>
      </c>
      <c r="U5" s="46"/>
      <c r="V5" s="13" t="s">
        <v>7</v>
      </c>
      <c r="W5" s="14">
        <v>54</v>
      </c>
      <c r="X5" s="15">
        <v>54</v>
      </c>
      <c r="Y5" s="15">
        <v>54</v>
      </c>
      <c r="Z5" s="16">
        <v>54</v>
      </c>
      <c r="AA5" s="1"/>
      <c r="AB5" s="46"/>
      <c r="AC5" s="13" t="s">
        <v>7</v>
      </c>
      <c r="AD5" s="14">
        <v>54</v>
      </c>
      <c r="AE5" s="15">
        <v>54</v>
      </c>
      <c r="AF5" s="16">
        <v>54</v>
      </c>
      <c r="AG5" s="1"/>
      <c r="AH5" s="46"/>
      <c r="AI5" s="13" t="s">
        <v>7</v>
      </c>
      <c r="AJ5" s="14">
        <v>54</v>
      </c>
      <c r="AK5" s="15">
        <v>54</v>
      </c>
      <c r="AL5" s="15">
        <v>54</v>
      </c>
      <c r="AM5" s="16">
        <v>54</v>
      </c>
      <c r="AN5" s="1"/>
      <c r="AO5" s="46"/>
      <c r="AP5" s="13" t="s">
        <v>7</v>
      </c>
      <c r="AQ5" s="14">
        <v>54</v>
      </c>
      <c r="AR5" s="15">
        <v>54</v>
      </c>
      <c r="AS5" s="15">
        <v>54</v>
      </c>
      <c r="AT5" s="16">
        <v>54</v>
      </c>
      <c r="AU5" s="1"/>
      <c r="AV5" s="46"/>
      <c r="AW5" s="13" t="s">
        <v>7</v>
      </c>
      <c r="AX5" s="14">
        <v>54</v>
      </c>
      <c r="AY5" s="15">
        <v>54</v>
      </c>
      <c r="AZ5" s="16">
        <v>54</v>
      </c>
      <c r="BA5" s="1"/>
      <c r="BB5" s="46"/>
      <c r="BC5" s="13" t="s">
        <v>7</v>
      </c>
      <c r="BD5" s="14">
        <v>54</v>
      </c>
      <c r="BE5" s="15">
        <v>54</v>
      </c>
      <c r="BF5" s="16">
        <v>54</v>
      </c>
      <c r="BG5" s="1"/>
      <c r="BH5" s="46"/>
      <c r="BI5" s="13" t="s">
        <v>7</v>
      </c>
      <c r="BJ5" s="14">
        <v>54</v>
      </c>
      <c r="BK5" s="15">
        <v>54</v>
      </c>
      <c r="BL5" s="16">
        <v>54</v>
      </c>
      <c r="BM5" s="1"/>
    </row>
    <row r="6" spans="1:65" ht="34.5" x14ac:dyDescent="0.35">
      <c r="A6" s="46" t="s">
        <v>3</v>
      </c>
      <c r="B6" s="9" t="s">
        <v>5</v>
      </c>
      <c r="C6" s="17" t="s">
        <v>49</v>
      </c>
      <c r="D6" s="18">
        <v>1</v>
      </c>
      <c r="E6" s="19" t="s">
        <v>51</v>
      </c>
      <c r="F6" s="1"/>
      <c r="G6" s="46" t="s">
        <v>10</v>
      </c>
      <c r="H6" s="9" t="s">
        <v>5</v>
      </c>
      <c r="I6" s="17" t="s">
        <v>52</v>
      </c>
      <c r="J6" s="18">
        <v>1</v>
      </c>
      <c r="K6" s="22" t="s">
        <v>55</v>
      </c>
      <c r="L6" s="19" t="s">
        <v>56</v>
      </c>
      <c r="N6" s="46" t="s">
        <v>14</v>
      </c>
      <c r="O6" s="9" t="s">
        <v>5</v>
      </c>
      <c r="P6" s="17" t="s">
        <v>58</v>
      </c>
      <c r="Q6" s="18">
        <v>1</v>
      </c>
      <c r="R6" s="11">
        <v>0.18591859037768638</v>
      </c>
      <c r="S6" s="19" t="s">
        <v>61</v>
      </c>
      <c r="U6" s="46" t="s">
        <v>19</v>
      </c>
      <c r="V6" s="9" t="s">
        <v>5</v>
      </c>
      <c r="W6" s="17" t="s">
        <v>63</v>
      </c>
      <c r="X6" s="18">
        <v>1</v>
      </c>
      <c r="Y6" s="22" t="s">
        <v>65</v>
      </c>
      <c r="Z6" s="19" t="s">
        <v>66</v>
      </c>
      <c r="AA6" s="1"/>
      <c r="AB6" s="46" t="s">
        <v>23</v>
      </c>
      <c r="AC6" s="9" t="s">
        <v>5</v>
      </c>
      <c r="AD6" s="17" t="s">
        <v>67</v>
      </c>
      <c r="AE6" s="18">
        <v>1</v>
      </c>
      <c r="AF6" s="19" t="s">
        <v>69</v>
      </c>
      <c r="AG6" s="1"/>
      <c r="AH6" s="46" t="s">
        <v>26</v>
      </c>
      <c r="AI6" s="9" t="s">
        <v>5</v>
      </c>
      <c r="AJ6" s="17" t="s">
        <v>70</v>
      </c>
      <c r="AK6" s="18">
        <v>1</v>
      </c>
      <c r="AL6" s="22" t="s">
        <v>73</v>
      </c>
      <c r="AM6" s="19" t="s">
        <v>74</v>
      </c>
      <c r="AN6" s="1"/>
      <c r="AO6" s="46" t="s">
        <v>30</v>
      </c>
      <c r="AP6" s="9" t="s">
        <v>5</v>
      </c>
      <c r="AQ6" s="17" t="s">
        <v>76</v>
      </c>
      <c r="AR6" s="18">
        <v>1</v>
      </c>
      <c r="AS6" s="22" t="s">
        <v>79</v>
      </c>
      <c r="AT6" s="19" t="s">
        <v>80</v>
      </c>
      <c r="AU6" s="1"/>
      <c r="AV6" s="46" t="s">
        <v>34</v>
      </c>
      <c r="AW6" s="9" t="s">
        <v>5</v>
      </c>
      <c r="AX6" s="17" t="s">
        <v>82</v>
      </c>
      <c r="AY6" s="18">
        <v>1</v>
      </c>
      <c r="AZ6" s="19" t="s">
        <v>84</v>
      </c>
      <c r="BA6" s="1"/>
      <c r="BB6" s="46" t="s">
        <v>37</v>
      </c>
      <c r="BC6" s="9" t="s">
        <v>5</v>
      </c>
      <c r="BD6" s="17" t="s">
        <v>85</v>
      </c>
      <c r="BE6" s="18">
        <v>1</v>
      </c>
      <c r="BF6" s="19" t="s">
        <v>87</v>
      </c>
      <c r="BG6" s="1"/>
      <c r="BH6" s="46" t="s">
        <v>40</v>
      </c>
      <c r="BI6" s="9" t="s">
        <v>5</v>
      </c>
      <c r="BJ6" s="17" t="s">
        <v>88</v>
      </c>
      <c r="BK6" s="18">
        <v>1</v>
      </c>
      <c r="BL6" s="19" t="s">
        <v>90</v>
      </c>
      <c r="BM6" s="1"/>
    </row>
    <row r="7" spans="1:65" ht="23" x14ac:dyDescent="0.35">
      <c r="A7" s="45"/>
      <c r="B7" s="9" t="s">
        <v>6</v>
      </c>
      <c r="C7" s="20">
        <v>2.5883832063576138E-16</v>
      </c>
      <c r="D7" s="21"/>
      <c r="E7" s="12">
        <v>1.7000206652908829E-30</v>
      </c>
      <c r="F7" s="1"/>
      <c r="G7" s="45"/>
      <c r="H7" s="9" t="s">
        <v>6</v>
      </c>
      <c r="I7" s="20">
        <v>1.9491673967915657E-20</v>
      </c>
      <c r="J7" s="21"/>
      <c r="K7" s="11">
        <v>4.4157748397150748E-14</v>
      </c>
      <c r="L7" s="12">
        <v>1.1900670477226009E-32</v>
      </c>
      <c r="N7" s="45"/>
      <c r="O7" s="9" t="s">
        <v>6</v>
      </c>
      <c r="P7" s="20">
        <v>3.3188763824416795E-2</v>
      </c>
      <c r="Q7" s="21"/>
      <c r="R7" s="11">
        <v>0.17829661134758448</v>
      </c>
      <c r="S7" s="12">
        <v>1.6049269299714318E-10</v>
      </c>
      <c r="U7" s="45"/>
      <c r="V7" s="9" t="s">
        <v>6</v>
      </c>
      <c r="W7" s="20">
        <v>4.5427798173270317E-6</v>
      </c>
      <c r="X7" s="21"/>
      <c r="Y7" s="11">
        <v>2.6514603664814351E-5</v>
      </c>
      <c r="Z7" s="12">
        <v>1.0404482967346501E-13</v>
      </c>
      <c r="AA7" s="1"/>
      <c r="AB7" s="45"/>
      <c r="AC7" s="9" t="s">
        <v>6</v>
      </c>
      <c r="AD7" s="20">
        <v>2.1529194308066614E-9</v>
      </c>
      <c r="AE7" s="21"/>
      <c r="AF7" s="12">
        <v>1.4060832542818713E-22</v>
      </c>
      <c r="AG7" s="1"/>
      <c r="AH7" s="45"/>
      <c r="AI7" s="9" t="s">
        <v>6</v>
      </c>
      <c r="AJ7" s="20">
        <v>7.1339694917855396E-9</v>
      </c>
      <c r="AK7" s="21"/>
      <c r="AL7" s="11">
        <v>8.4778514548343922E-8</v>
      </c>
      <c r="AM7" s="12">
        <v>9.5454100569134992E-18</v>
      </c>
      <c r="AN7" s="1"/>
      <c r="AO7" s="45"/>
      <c r="AP7" s="9" t="s">
        <v>6</v>
      </c>
      <c r="AQ7" s="20">
        <v>5.4552209397974584E-10</v>
      </c>
      <c r="AR7" s="21"/>
      <c r="AS7" s="11">
        <v>4.6178763232739856E-3</v>
      </c>
      <c r="AT7" s="12">
        <v>8.2084642215724661E-16</v>
      </c>
      <c r="AU7" s="1"/>
      <c r="AV7" s="45"/>
      <c r="AW7" s="9" t="s">
        <v>6</v>
      </c>
      <c r="AX7" s="20">
        <v>1.3488092705604029E-4</v>
      </c>
      <c r="AY7" s="21"/>
      <c r="AZ7" s="12">
        <v>5.6920657568859546E-18</v>
      </c>
      <c r="BA7" s="1"/>
      <c r="BB7" s="45"/>
      <c r="BC7" s="9" t="s">
        <v>6</v>
      </c>
      <c r="BD7" s="20">
        <v>1.4168642789287147E-4</v>
      </c>
      <c r="BE7" s="21"/>
      <c r="BF7" s="12">
        <v>1.0188663483789937E-19</v>
      </c>
      <c r="BG7" s="1"/>
      <c r="BH7" s="45"/>
      <c r="BI7" s="9" t="s">
        <v>6</v>
      </c>
      <c r="BJ7" s="20">
        <v>5.9127957164195498E-3</v>
      </c>
      <c r="BK7" s="21"/>
      <c r="BL7" s="12">
        <v>8.1424226797823357E-12</v>
      </c>
      <c r="BM7" s="1"/>
    </row>
    <row r="8" spans="1:65" x14ac:dyDescent="0.35">
      <c r="A8" s="46"/>
      <c r="B8" s="13" t="s">
        <v>7</v>
      </c>
      <c r="C8" s="14">
        <v>54</v>
      </c>
      <c r="D8" s="15">
        <v>54</v>
      </c>
      <c r="E8" s="16">
        <v>54</v>
      </c>
      <c r="F8" s="1"/>
      <c r="G8" s="46"/>
      <c r="H8" s="13" t="s">
        <v>7</v>
      </c>
      <c r="I8" s="14">
        <v>54</v>
      </c>
      <c r="J8" s="15">
        <v>54</v>
      </c>
      <c r="K8" s="15">
        <v>54</v>
      </c>
      <c r="L8" s="16">
        <v>54</v>
      </c>
      <c r="N8" s="46"/>
      <c r="O8" s="13" t="s">
        <v>7</v>
      </c>
      <c r="P8" s="14">
        <v>54</v>
      </c>
      <c r="Q8" s="15">
        <v>54</v>
      </c>
      <c r="R8" s="15">
        <v>54</v>
      </c>
      <c r="S8" s="16">
        <v>54</v>
      </c>
      <c r="U8" s="46"/>
      <c r="V8" s="13" t="s">
        <v>7</v>
      </c>
      <c r="W8" s="14">
        <v>54</v>
      </c>
      <c r="X8" s="15">
        <v>54</v>
      </c>
      <c r="Y8" s="15">
        <v>54</v>
      </c>
      <c r="Z8" s="16">
        <v>54</v>
      </c>
      <c r="AA8" s="1"/>
      <c r="AB8" s="46"/>
      <c r="AC8" s="13" t="s">
        <v>7</v>
      </c>
      <c r="AD8" s="14">
        <v>54</v>
      </c>
      <c r="AE8" s="15">
        <v>54</v>
      </c>
      <c r="AF8" s="16">
        <v>54</v>
      </c>
      <c r="AG8" s="1"/>
      <c r="AH8" s="46"/>
      <c r="AI8" s="13" t="s">
        <v>7</v>
      </c>
      <c r="AJ8" s="14">
        <v>54</v>
      </c>
      <c r="AK8" s="15">
        <v>54</v>
      </c>
      <c r="AL8" s="15">
        <v>54</v>
      </c>
      <c r="AM8" s="16">
        <v>54</v>
      </c>
      <c r="AN8" s="1"/>
      <c r="AO8" s="46"/>
      <c r="AP8" s="13" t="s">
        <v>7</v>
      </c>
      <c r="AQ8" s="14">
        <v>54</v>
      </c>
      <c r="AR8" s="15">
        <v>54</v>
      </c>
      <c r="AS8" s="15">
        <v>54</v>
      </c>
      <c r="AT8" s="16">
        <v>54</v>
      </c>
      <c r="AU8" s="1"/>
      <c r="AV8" s="46"/>
      <c r="AW8" s="13" t="s">
        <v>7</v>
      </c>
      <c r="AX8" s="14">
        <v>54</v>
      </c>
      <c r="AY8" s="15">
        <v>54</v>
      </c>
      <c r="AZ8" s="16">
        <v>54</v>
      </c>
      <c r="BA8" s="1"/>
      <c r="BB8" s="46"/>
      <c r="BC8" s="13" t="s">
        <v>7</v>
      </c>
      <c r="BD8" s="14">
        <v>54</v>
      </c>
      <c r="BE8" s="15">
        <v>54</v>
      </c>
      <c r="BF8" s="16">
        <v>54</v>
      </c>
      <c r="BG8" s="1"/>
      <c r="BH8" s="46"/>
      <c r="BI8" s="13" t="s">
        <v>7</v>
      </c>
      <c r="BJ8" s="14">
        <v>54</v>
      </c>
      <c r="BK8" s="15">
        <v>54</v>
      </c>
      <c r="BL8" s="16">
        <v>54</v>
      </c>
      <c r="BM8" s="1"/>
    </row>
    <row r="9" spans="1:65" ht="34.5" x14ac:dyDescent="0.35">
      <c r="A9" s="46" t="s">
        <v>4</v>
      </c>
      <c r="B9" s="9" t="s">
        <v>5</v>
      </c>
      <c r="C9" s="17" t="s">
        <v>50</v>
      </c>
      <c r="D9" s="22" t="s">
        <v>51</v>
      </c>
      <c r="E9" s="23">
        <v>1</v>
      </c>
      <c r="F9" s="1"/>
      <c r="G9" s="46" t="s">
        <v>11</v>
      </c>
      <c r="H9" s="9" t="s">
        <v>5</v>
      </c>
      <c r="I9" s="17" t="s">
        <v>53</v>
      </c>
      <c r="J9" s="22" t="s">
        <v>55</v>
      </c>
      <c r="K9" s="18">
        <v>1</v>
      </c>
      <c r="L9" s="19" t="s">
        <v>57</v>
      </c>
      <c r="N9" s="46" t="s">
        <v>15</v>
      </c>
      <c r="O9" s="9" t="s">
        <v>5</v>
      </c>
      <c r="P9" s="17" t="s">
        <v>59</v>
      </c>
      <c r="Q9" s="11">
        <v>0.18591859037768638</v>
      </c>
      <c r="R9" s="18">
        <v>1</v>
      </c>
      <c r="S9" s="19" t="s">
        <v>62</v>
      </c>
      <c r="U9" s="46" t="s">
        <v>20</v>
      </c>
      <c r="V9" s="9" t="s">
        <v>5</v>
      </c>
      <c r="W9" s="17" t="s">
        <v>63</v>
      </c>
      <c r="X9" s="22" t="s">
        <v>65</v>
      </c>
      <c r="Y9" s="18">
        <v>1</v>
      </c>
      <c r="Z9" s="19" t="s">
        <v>49</v>
      </c>
      <c r="AA9" s="1"/>
      <c r="AB9" s="46" t="s">
        <v>24</v>
      </c>
      <c r="AC9" s="9" t="s">
        <v>5</v>
      </c>
      <c r="AD9" s="17" t="s">
        <v>68</v>
      </c>
      <c r="AE9" s="22" t="s">
        <v>69</v>
      </c>
      <c r="AF9" s="23">
        <v>1</v>
      </c>
      <c r="AG9" s="1"/>
      <c r="AH9" s="46" t="s">
        <v>27</v>
      </c>
      <c r="AI9" s="9" t="s">
        <v>5</v>
      </c>
      <c r="AJ9" s="17" t="s">
        <v>71</v>
      </c>
      <c r="AK9" s="22" t="s">
        <v>73</v>
      </c>
      <c r="AL9" s="18">
        <v>1</v>
      </c>
      <c r="AM9" s="19" t="s">
        <v>75</v>
      </c>
      <c r="AN9" s="1"/>
      <c r="AO9" s="46" t="s">
        <v>31</v>
      </c>
      <c r="AP9" s="9" t="s">
        <v>5</v>
      </c>
      <c r="AQ9" s="17" t="s">
        <v>77</v>
      </c>
      <c r="AR9" s="22" t="s">
        <v>79</v>
      </c>
      <c r="AS9" s="18">
        <v>1</v>
      </c>
      <c r="AT9" s="19" t="s">
        <v>81</v>
      </c>
      <c r="AU9" s="1"/>
      <c r="AV9" s="46" t="s">
        <v>35</v>
      </c>
      <c r="AW9" s="9" t="s">
        <v>5</v>
      </c>
      <c r="AX9" s="17" t="s">
        <v>83</v>
      </c>
      <c r="AY9" s="22" t="s">
        <v>84</v>
      </c>
      <c r="AZ9" s="23">
        <v>1</v>
      </c>
      <c r="BA9" s="1"/>
      <c r="BB9" s="46" t="s">
        <v>38</v>
      </c>
      <c r="BC9" s="9" t="s">
        <v>5</v>
      </c>
      <c r="BD9" s="17" t="s">
        <v>86</v>
      </c>
      <c r="BE9" s="22" t="s">
        <v>87</v>
      </c>
      <c r="BF9" s="23">
        <v>1</v>
      </c>
      <c r="BG9" s="1"/>
      <c r="BH9" s="46" t="s">
        <v>41</v>
      </c>
      <c r="BI9" s="9" t="s">
        <v>5</v>
      </c>
      <c r="BJ9" s="17" t="s">
        <v>89</v>
      </c>
      <c r="BK9" s="22" t="s">
        <v>90</v>
      </c>
      <c r="BL9" s="23">
        <v>1</v>
      </c>
      <c r="BM9" s="1"/>
    </row>
    <row r="10" spans="1:65" ht="23" x14ac:dyDescent="0.35">
      <c r="A10" s="45"/>
      <c r="B10" s="9" t="s">
        <v>6</v>
      </c>
      <c r="C10" s="20">
        <v>7.7488886685920085E-32</v>
      </c>
      <c r="D10" s="11">
        <v>1.7000206652908829E-30</v>
      </c>
      <c r="E10" s="24"/>
      <c r="F10" s="1"/>
      <c r="G10" s="45"/>
      <c r="H10" s="9" t="s">
        <v>6</v>
      </c>
      <c r="I10" s="20">
        <v>1.2998910588082439E-11</v>
      </c>
      <c r="J10" s="11">
        <v>4.4157748397150748E-14</v>
      </c>
      <c r="K10" s="21"/>
      <c r="L10" s="12">
        <v>1.1310426677516671E-20</v>
      </c>
      <c r="N10" s="45"/>
      <c r="O10" s="9" t="s">
        <v>6</v>
      </c>
      <c r="P10" s="20">
        <v>1.0287574036503848E-2</v>
      </c>
      <c r="Q10" s="11">
        <v>0.17829661134758448</v>
      </c>
      <c r="R10" s="21"/>
      <c r="S10" s="12">
        <v>7.558227773098564E-10</v>
      </c>
      <c r="U10" s="45"/>
      <c r="V10" s="9" t="s">
        <v>6</v>
      </c>
      <c r="W10" s="20">
        <v>4.41168056249525E-6</v>
      </c>
      <c r="X10" s="11">
        <v>2.6514603664814351E-5</v>
      </c>
      <c r="Y10" s="21"/>
      <c r="Z10" s="12">
        <v>2.4429599026158049E-16</v>
      </c>
      <c r="AA10" s="1"/>
      <c r="AB10" s="45"/>
      <c r="AC10" s="9" t="s">
        <v>6</v>
      </c>
      <c r="AD10" s="20">
        <v>3.3426829246958142E-24</v>
      </c>
      <c r="AE10" s="11">
        <v>1.4060832542818713E-22</v>
      </c>
      <c r="AF10" s="24"/>
      <c r="AG10" s="1"/>
      <c r="AH10" s="45"/>
      <c r="AI10" s="9" t="s">
        <v>6</v>
      </c>
      <c r="AJ10" s="20">
        <v>5.8133805331234554E-8</v>
      </c>
      <c r="AK10" s="11">
        <v>8.4778514548343922E-8</v>
      </c>
      <c r="AL10" s="21"/>
      <c r="AM10" s="12">
        <v>1.6716478748537E-21</v>
      </c>
      <c r="AN10" s="1"/>
      <c r="AO10" s="45"/>
      <c r="AP10" s="9" t="s">
        <v>6</v>
      </c>
      <c r="AQ10" s="20">
        <v>9.5382230613807843E-3</v>
      </c>
      <c r="AR10" s="11">
        <v>4.6178763232739856E-3</v>
      </c>
      <c r="AS10" s="21"/>
      <c r="AT10" s="12">
        <v>8.6617708833003747E-11</v>
      </c>
      <c r="AU10" s="1"/>
      <c r="AV10" s="45"/>
      <c r="AW10" s="9" t="s">
        <v>6</v>
      </c>
      <c r="AX10" s="20">
        <v>1.8691546722399598E-16</v>
      </c>
      <c r="AY10" s="11">
        <v>5.6920657568859546E-18</v>
      </c>
      <c r="AZ10" s="24"/>
      <c r="BA10" s="1"/>
      <c r="BB10" s="45"/>
      <c r="BC10" s="9" t="s">
        <v>6</v>
      </c>
      <c r="BD10" s="20">
        <v>6.0746052398569436E-15</v>
      </c>
      <c r="BE10" s="11">
        <v>1.0188663483789937E-19</v>
      </c>
      <c r="BF10" s="24"/>
      <c r="BG10" s="1"/>
      <c r="BH10" s="45"/>
      <c r="BI10" s="9" t="s">
        <v>6</v>
      </c>
      <c r="BJ10" s="20">
        <v>4.2683253802511655E-18</v>
      </c>
      <c r="BK10" s="11">
        <v>8.1424226797823357E-12</v>
      </c>
      <c r="BL10" s="24"/>
      <c r="BM10" s="1"/>
    </row>
    <row r="11" spans="1:65" x14ac:dyDescent="0.35">
      <c r="A11" s="47"/>
      <c r="B11" s="25" t="s">
        <v>7</v>
      </c>
      <c r="C11" s="26">
        <v>54</v>
      </c>
      <c r="D11" s="27">
        <v>54</v>
      </c>
      <c r="E11" s="28">
        <v>54</v>
      </c>
      <c r="F11" s="1"/>
      <c r="G11" s="46"/>
      <c r="H11" s="13" t="s">
        <v>7</v>
      </c>
      <c r="I11" s="14">
        <v>54</v>
      </c>
      <c r="J11" s="15">
        <v>54</v>
      </c>
      <c r="K11" s="15">
        <v>54</v>
      </c>
      <c r="L11" s="16">
        <v>54</v>
      </c>
      <c r="N11" s="46"/>
      <c r="O11" s="13" t="s">
        <v>7</v>
      </c>
      <c r="P11" s="14">
        <v>54</v>
      </c>
      <c r="Q11" s="15">
        <v>54</v>
      </c>
      <c r="R11" s="15">
        <v>54</v>
      </c>
      <c r="S11" s="16">
        <v>54</v>
      </c>
      <c r="U11" s="46"/>
      <c r="V11" s="13" t="s">
        <v>7</v>
      </c>
      <c r="W11" s="14">
        <v>54</v>
      </c>
      <c r="X11" s="15">
        <v>54</v>
      </c>
      <c r="Y11" s="15">
        <v>54</v>
      </c>
      <c r="Z11" s="16">
        <v>54</v>
      </c>
      <c r="AA11" s="1"/>
      <c r="AB11" s="47"/>
      <c r="AC11" s="25" t="s">
        <v>7</v>
      </c>
      <c r="AD11" s="26">
        <v>54</v>
      </c>
      <c r="AE11" s="27">
        <v>54</v>
      </c>
      <c r="AF11" s="28">
        <v>54</v>
      </c>
      <c r="AG11" s="1"/>
      <c r="AH11" s="46"/>
      <c r="AI11" s="13" t="s">
        <v>7</v>
      </c>
      <c r="AJ11" s="14">
        <v>54</v>
      </c>
      <c r="AK11" s="15">
        <v>54</v>
      </c>
      <c r="AL11" s="15">
        <v>54</v>
      </c>
      <c r="AM11" s="16">
        <v>54</v>
      </c>
      <c r="AN11" s="1"/>
      <c r="AO11" s="46"/>
      <c r="AP11" s="13" t="s">
        <v>7</v>
      </c>
      <c r="AQ11" s="14">
        <v>54</v>
      </c>
      <c r="AR11" s="15">
        <v>54</v>
      </c>
      <c r="AS11" s="15">
        <v>54</v>
      </c>
      <c r="AT11" s="16">
        <v>54</v>
      </c>
      <c r="AU11" s="1"/>
      <c r="AV11" s="47"/>
      <c r="AW11" s="25" t="s">
        <v>7</v>
      </c>
      <c r="AX11" s="26">
        <v>54</v>
      </c>
      <c r="AY11" s="27">
        <v>54</v>
      </c>
      <c r="AZ11" s="28">
        <v>54</v>
      </c>
      <c r="BA11" s="1"/>
      <c r="BB11" s="47"/>
      <c r="BC11" s="25" t="s">
        <v>7</v>
      </c>
      <c r="BD11" s="26">
        <v>54</v>
      </c>
      <c r="BE11" s="27">
        <v>54</v>
      </c>
      <c r="BF11" s="28">
        <v>54</v>
      </c>
      <c r="BG11" s="1"/>
      <c r="BH11" s="47"/>
      <c r="BI11" s="25" t="s">
        <v>7</v>
      </c>
      <c r="BJ11" s="26">
        <v>54</v>
      </c>
      <c r="BK11" s="27">
        <v>54</v>
      </c>
      <c r="BL11" s="28">
        <v>54</v>
      </c>
      <c r="BM11" s="1"/>
    </row>
    <row r="12" spans="1:65" ht="34.5" x14ac:dyDescent="0.35">
      <c r="A12" s="48" t="s">
        <v>8</v>
      </c>
      <c r="B12" s="48"/>
      <c r="C12" s="48"/>
      <c r="D12" s="48"/>
      <c r="E12" s="48"/>
      <c r="F12" s="1"/>
      <c r="G12" s="46" t="s">
        <v>12</v>
      </c>
      <c r="H12" s="9" t="s">
        <v>5</v>
      </c>
      <c r="I12" s="17" t="s">
        <v>54</v>
      </c>
      <c r="J12" s="22" t="s">
        <v>56</v>
      </c>
      <c r="K12" s="22" t="s">
        <v>57</v>
      </c>
      <c r="L12" s="23">
        <v>1</v>
      </c>
      <c r="N12" s="46" t="s">
        <v>16</v>
      </c>
      <c r="O12" s="9" t="s">
        <v>5</v>
      </c>
      <c r="P12" s="17" t="s">
        <v>60</v>
      </c>
      <c r="Q12" s="22" t="s">
        <v>61</v>
      </c>
      <c r="R12" s="22" t="s">
        <v>62</v>
      </c>
      <c r="S12" s="23">
        <v>1</v>
      </c>
      <c r="U12" s="46" t="s">
        <v>21</v>
      </c>
      <c r="V12" s="9" t="s">
        <v>5</v>
      </c>
      <c r="W12" s="17" t="s">
        <v>64</v>
      </c>
      <c r="X12" s="22" t="s">
        <v>66</v>
      </c>
      <c r="Y12" s="22" t="s">
        <v>49</v>
      </c>
      <c r="Z12" s="23">
        <v>1</v>
      </c>
      <c r="AA12" s="1"/>
      <c r="AB12" s="48" t="s">
        <v>8</v>
      </c>
      <c r="AC12" s="48"/>
      <c r="AD12" s="48"/>
      <c r="AE12" s="48"/>
      <c r="AF12" s="48"/>
      <c r="AG12" s="1"/>
      <c r="AH12" s="46" t="s">
        <v>28</v>
      </c>
      <c r="AI12" s="9" t="s">
        <v>5</v>
      </c>
      <c r="AJ12" s="17" t="s">
        <v>72</v>
      </c>
      <c r="AK12" s="22" t="s">
        <v>74</v>
      </c>
      <c r="AL12" s="22" t="s">
        <v>75</v>
      </c>
      <c r="AM12" s="23">
        <v>1</v>
      </c>
      <c r="AN12" s="1"/>
      <c r="AO12" s="46" t="s">
        <v>32</v>
      </c>
      <c r="AP12" s="9" t="s">
        <v>5</v>
      </c>
      <c r="AQ12" s="17" t="s">
        <v>78</v>
      </c>
      <c r="AR12" s="22" t="s">
        <v>80</v>
      </c>
      <c r="AS12" s="22" t="s">
        <v>81</v>
      </c>
      <c r="AT12" s="23">
        <v>1</v>
      </c>
      <c r="AU12" s="1"/>
      <c r="AV12" s="48" t="s">
        <v>8</v>
      </c>
      <c r="AW12" s="48"/>
      <c r="AX12" s="48"/>
      <c r="AY12" s="48"/>
      <c r="AZ12" s="48"/>
      <c r="BA12" s="1"/>
      <c r="BB12" s="48" t="s">
        <v>8</v>
      </c>
      <c r="BC12" s="48"/>
      <c r="BD12" s="48"/>
      <c r="BE12" s="48"/>
      <c r="BF12" s="48"/>
      <c r="BG12" s="1"/>
      <c r="BH12" s="48" t="s">
        <v>8</v>
      </c>
      <c r="BI12" s="48"/>
      <c r="BJ12" s="48"/>
      <c r="BK12" s="48"/>
      <c r="BL12" s="48"/>
      <c r="BM12" s="1"/>
    </row>
    <row r="13" spans="1:65" ht="23" x14ac:dyDescent="0.35">
      <c r="G13" s="45"/>
      <c r="H13" s="9" t="s">
        <v>6</v>
      </c>
      <c r="I13" s="20">
        <v>2.0290924417611646E-28</v>
      </c>
      <c r="J13" s="11">
        <v>1.1900670477226009E-32</v>
      </c>
      <c r="K13" s="11">
        <v>1.1310426677516671E-20</v>
      </c>
      <c r="L13" s="24"/>
      <c r="N13" s="45"/>
      <c r="O13" s="9" t="s">
        <v>6</v>
      </c>
      <c r="P13" s="20">
        <v>1.7623273433111993E-8</v>
      </c>
      <c r="Q13" s="11">
        <v>1.6049269299714318E-10</v>
      </c>
      <c r="R13" s="11">
        <v>7.558227773098564E-10</v>
      </c>
      <c r="S13" s="24"/>
      <c r="U13" s="45"/>
      <c r="V13" s="9" t="s">
        <v>6</v>
      </c>
      <c r="W13" s="20">
        <v>6.589895552598664E-17</v>
      </c>
      <c r="X13" s="11">
        <v>1.0404482967346501E-13</v>
      </c>
      <c r="Y13" s="11">
        <v>2.4429599026158049E-16</v>
      </c>
      <c r="Z13" s="24"/>
      <c r="AA13" s="1"/>
      <c r="AH13" s="45"/>
      <c r="AI13" s="9" t="s">
        <v>6</v>
      </c>
      <c r="AJ13" s="20">
        <v>1.486471593946895E-16</v>
      </c>
      <c r="AK13" s="11">
        <v>9.5454100569134992E-18</v>
      </c>
      <c r="AL13" s="11">
        <v>1.6716478748537E-21</v>
      </c>
      <c r="AM13" s="24"/>
      <c r="AN13" s="1"/>
      <c r="AO13" s="45"/>
      <c r="AP13" s="9" t="s">
        <v>6</v>
      </c>
      <c r="AQ13" s="20">
        <v>4.4459020432065006E-15</v>
      </c>
      <c r="AR13" s="11">
        <v>8.2084642215724661E-16</v>
      </c>
      <c r="AS13" s="11">
        <v>8.6617708833003747E-11</v>
      </c>
      <c r="AT13" s="24"/>
      <c r="AU13" s="1"/>
    </row>
    <row r="14" spans="1:65" x14ac:dyDescent="0.35">
      <c r="G14" s="47"/>
      <c r="H14" s="25" t="s">
        <v>7</v>
      </c>
      <c r="I14" s="26">
        <v>54</v>
      </c>
      <c r="J14" s="27">
        <v>54</v>
      </c>
      <c r="K14" s="27">
        <v>54</v>
      </c>
      <c r="L14" s="28">
        <v>54</v>
      </c>
      <c r="N14" s="47"/>
      <c r="O14" s="25" t="s">
        <v>7</v>
      </c>
      <c r="P14" s="26">
        <v>54</v>
      </c>
      <c r="Q14" s="27">
        <v>54</v>
      </c>
      <c r="R14" s="27">
        <v>54</v>
      </c>
      <c r="S14" s="28">
        <v>54</v>
      </c>
      <c r="U14" s="47"/>
      <c r="V14" s="25" t="s">
        <v>7</v>
      </c>
      <c r="W14" s="26">
        <v>54</v>
      </c>
      <c r="X14" s="27">
        <v>54</v>
      </c>
      <c r="Y14" s="27">
        <v>54</v>
      </c>
      <c r="Z14" s="28">
        <v>54</v>
      </c>
      <c r="AA14" s="1"/>
      <c r="AH14" s="47"/>
      <c r="AI14" s="25" t="s">
        <v>7</v>
      </c>
      <c r="AJ14" s="26">
        <v>54</v>
      </c>
      <c r="AK14" s="27">
        <v>54</v>
      </c>
      <c r="AL14" s="27">
        <v>54</v>
      </c>
      <c r="AM14" s="28">
        <v>54</v>
      </c>
      <c r="AN14" s="1"/>
      <c r="AO14" s="47"/>
      <c r="AP14" s="25" t="s">
        <v>7</v>
      </c>
      <c r="AQ14" s="26">
        <v>54</v>
      </c>
      <c r="AR14" s="27">
        <v>54</v>
      </c>
      <c r="AS14" s="27">
        <v>54</v>
      </c>
      <c r="AT14" s="28">
        <v>54</v>
      </c>
      <c r="AU14" s="1"/>
    </row>
    <row r="15" spans="1:65" x14ac:dyDescent="0.35">
      <c r="G15" s="48" t="s">
        <v>8</v>
      </c>
      <c r="H15" s="48"/>
      <c r="I15" s="48"/>
      <c r="J15" s="48"/>
      <c r="K15" s="48"/>
      <c r="L15" s="48"/>
      <c r="N15" s="48" t="s">
        <v>17</v>
      </c>
      <c r="O15" s="48"/>
      <c r="P15" s="48"/>
      <c r="Q15" s="48"/>
      <c r="R15" s="48"/>
      <c r="S15" s="48"/>
      <c r="U15" s="48" t="s">
        <v>8</v>
      </c>
      <c r="V15" s="48"/>
      <c r="W15" s="48"/>
      <c r="X15" s="48"/>
      <c r="Y15" s="48"/>
      <c r="Z15" s="48"/>
      <c r="AA15" s="1"/>
      <c r="AH15" s="48" t="s">
        <v>8</v>
      </c>
      <c r="AI15" s="48"/>
      <c r="AJ15" s="48"/>
      <c r="AK15" s="48"/>
      <c r="AL15" s="48"/>
      <c r="AM15" s="48"/>
      <c r="AN15" s="1"/>
      <c r="AO15" s="48" t="s">
        <v>8</v>
      </c>
      <c r="AP15" s="48"/>
      <c r="AQ15" s="48"/>
      <c r="AR15" s="48"/>
      <c r="AS15" s="48"/>
      <c r="AT15" s="48"/>
      <c r="AU15" s="1"/>
    </row>
    <row r="16" spans="1:65" x14ac:dyDescent="0.35">
      <c r="G16" s="1"/>
      <c r="N16" s="48" t="s">
        <v>8</v>
      </c>
      <c r="O16" s="48"/>
      <c r="P16" s="48"/>
      <c r="Q16" s="48"/>
      <c r="R16" s="48"/>
      <c r="S16" s="48"/>
    </row>
    <row r="17" spans="7:7" x14ac:dyDescent="0.35">
      <c r="G17" s="1"/>
    </row>
    <row r="18" spans="7:7" x14ac:dyDescent="0.35">
      <c r="G18" s="1"/>
    </row>
    <row r="19" spans="7:7" x14ac:dyDescent="0.35">
      <c r="G19" s="1"/>
    </row>
    <row r="20" spans="7:7" x14ac:dyDescent="0.35">
      <c r="G20" s="1"/>
    </row>
    <row r="21" spans="7:7" x14ac:dyDescent="0.35">
      <c r="G21" s="1"/>
    </row>
    <row r="22" spans="7:7" x14ac:dyDescent="0.35">
      <c r="G22" s="1"/>
    </row>
    <row r="23" spans="7:7" x14ac:dyDescent="0.35">
      <c r="G23" s="1"/>
    </row>
    <row r="24" spans="7:7" x14ac:dyDescent="0.35">
      <c r="G24" s="1"/>
    </row>
    <row r="25" spans="7:7" x14ac:dyDescent="0.35">
      <c r="G25" s="1"/>
    </row>
    <row r="26" spans="7:7" x14ac:dyDescent="0.35">
      <c r="G26" s="1"/>
    </row>
    <row r="27" spans="7:7" x14ac:dyDescent="0.35">
      <c r="G27" s="1"/>
    </row>
    <row r="28" spans="7:7" x14ac:dyDescent="0.35">
      <c r="G28" s="1"/>
    </row>
    <row r="29" spans="7:7" x14ac:dyDescent="0.35">
      <c r="G29" s="1"/>
    </row>
    <row r="30" spans="7:7" x14ac:dyDescent="0.35">
      <c r="G30" s="1"/>
    </row>
    <row r="31" spans="7:7" x14ac:dyDescent="0.35">
      <c r="G31" s="1"/>
    </row>
    <row r="32" spans="7:7" x14ac:dyDescent="0.35">
      <c r="G32" s="1"/>
    </row>
    <row r="33" spans="7:7" x14ac:dyDescent="0.35">
      <c r="G33" s="1"/>
    </row>
    <row r="34" spans="7:7" x14ac:dyDescent="0.35">
      <c r="G34" s="1"/>
    </row>
    <row r="35" spans="7:7" x14ac:dyDescent="0.35">
      <c r="G35" s="1"/>
    </row>
    <row r="36" spans="7:7" x14ac:dyDescent="0.35">
      <c r="G36" s="1"/>
    </row>
    <row r="37" spans="7:7" x14ac:dyDescent="0.35">
      <c r="G37" s="1"/>
    </row>
    <row r="38" spans="7:7" x14ac:dyDescent="0.35">
      <c r="G38" s="1"/>
    </row>
    <row r="39" spans="7:7" x14ac:dyDescent="0.35">
      <c r="G39" s="1"/>
    </row>
    <row r="40" spans="7:7" x14ac:dyDescent="0.35">
      <c r="G40" s="1"/>
    </row>
    <row r="41" spans="7:7" x14ac:dyDescent="0.35">
      <c r="G41" s="1"/>
    </row>
    <row r="42" spans="7:7" x14ac:dyDescent="0.35">
      <c r="G42" s="1"/>
    </row>
    <row r="43" spans="7:7" x14ac:dyDescent="0.35">
      <c r="G43" s="1"/>
    </row>
  </sheetData>
  <mergeCells count="66">
    <mergeCell ref="A12:E12"/>
    <mergeCell ref="A1:E1"/>
    <mergeCell ref="A2:B2"/>
    <mergeCell ref="A3:A5"/>
    <mergeCell ref="A6:A8"/>
    <mergeCell ref="A9:A11"/>
    <mergeCell ref="AB9:AB11"/>
    <mergeCell ref="G15:L15"/>
    <mergeCell ref="N1:S1"/>
    <mergeCell ref="N2:O2"/>
    <mergeCell ref="N3:N5"/>
    <mergeCell ref="N6:N8"/>
    <mergeCell ref="N9:N11"/>
    <mergeCell ref="G1:L1"/>
    <mergeCell ref="G2:H2"/>
    <mergeCell ref="G3:G5"/>
    <mergeCell ref="G6:G8"/>
    <mergeCell ref="G9:G11"/>
    <mergeCell ref="G12:G14"/>
    <mergeCell ref="AV1:AZ1"/>
    <mergeCell ref="AB12:AF12"/>
    <mergeCell ref="N12:N14"/>
    <mergeCell ref="N15:S15"/>
    <mergeCell ref="N16:S16"/>
    <mergeCell ref="U1:Z1"/>
    <mergeCell ref="U2:V2"/>
    <mergeCell ref="U3:U5"/>
    <mergeCell ref="U6:U8"/>
    <mergeCell ref="U9:U11"/>
    <mergeCell ref="U12:U14"/>
    <mergeCell ref="U15:Z15"/>
    <mergeCell ref="AB1:AF1"/>
    <mergeCell ref="AB2:AC2"/>
    <mergeCell ref="AB3:AB5"/>
    <mergeCell ref="AB6:AB8"/>
    <mergeCell ref="AH15:AM15"/>
    <mergeCell ref="AO1:AT1"/>
    <mergeCell ref="AO2:AP2"/>
    <mergeCell ref="AO3:AO5"/>
    <mergeCell ref="AO6:AO8"/>
    <mergeCell ref="AO9:AO11"/>
    <mergeCell ref="AO12:AO14"/>
    <mergeCell ref="AO15:AT15"/>
    <mergeCell ref="AH1:AM1"/>
    <mergeCell ref="AH2:AI2"/>
    <mergeCell ref="AH3:AH5"/>
    <mergeCell ref="AH6:AH8"/>
    <mergeCell ref="AH9:AH11"/>
    <mergeCell ref="AH12:AH14"/>
    <mergeCell ref="AV2:AW2"/>
    <mergeCell ref="AV3:AV5"/>
    <mergeCell ref="AV6:AV8"/>
    <mergeCell ref="AV9:AV11"/>
    <mergeCell ref="BH12:BL12"/>
    <mergeCell ref="BB12:BF12"/>
    <mergeCell ref="AV12:AZ12"/>
    <mergeCell ref="BB1:BF1"/>
    <mergeCell ref="BB2:BC2"/>
    <mergeCell ref="BB3:BB5"/>
    <mergeCell ref="BB6:BB8"/>
    <mergeCell ref="BB9:BB11"/>
    <mergeCell ref="BH1:BL1"/>
    <mergeCell ref="BH2:BI2"/>
    <mergeCell ref="BH3:BH5"/>
    <mergeCell ref="BH6:BH8"/>
    <mergeCell ref="BH9:B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E038-1C8D-46B7-9EEF-29AB78D65EF2}">
  <dimension ref="A1:BG4"/>
  <sheetViews>
    <sheetView topLeftCell="BC1" workbookViewId="0">
      <selection activeCell="BI1" sqref="BI1"/>
    </sheetView>
  </sheetViews>
  <sheetFormatPr defaultColWidth="10.26953125" defaultRowHeight="15.5" x14ac:dyDescent="0.35"/>
  <cols>
    <col min="1" max="1" width="10.26953125" style="35" customWidth="1"/>
    <col min="2" max="2" width="9.7265625" style="35" bestFit="1" customWidth="1"/>
    <col min="3" max="3" width="8.36328125" style="35" bestFit="1" customWidth="1"/>
    <col min="4" max="4" width="13.36328125" style="35" bestFit="1" customWidth="1"/>
    <col min="5" max="5" width="11.90625" style="35" bestFit="1" customWidth="1"/>
    <col min="6" max="6" width="10.26953125" style="35"/>
    <col min="7" max="7" width="15.90625" style="35" customWidth="1"/>
    <col min="8" max="8" width="9.7265625" style="35" bestFit="1" customWidth="1"/>
    <col min="9" max="9" width="8.36328125" style="35" bestFit="1" customWidth="1"/>
    <col min="10" max="10" width="13.36328125" style="35" bestFit="1" customWidth="1"/>
    <col min="11" max="11" width="11.90625" style="35" bestFit="1" customWidth="1"/>
    <col min="12" max="12" width="10.26953125" style="35"/>
    <col min="13" max="13" width="13" style="35" customWidth="1"/>
    <col min="14" max="14" width="9.7265625" style="35" bestFit="1" customWidth="1"/>
    <col min="15" max="15" width="8.36328125" style="35" bestFit="1" customWidth="1"/>
    <col min="16" max="16" width="13.36328125" style="35" bestFit="1" customWidth="1"/>
    <col min="17" max="17" width="11.90625" style="35" bestFit="1" customWidth="1"/>
    <col min="18" max="18" width="10.26953125" style="35"/>
    <col min="19" max="19" width="18.26953125" style="35" customWidth="1"/>
    <col min="20" max="20" width="9.7265625" style="35" bestFit="1" customWidth="1"/>
    <col min="21" max="21" width="8.36328125" style="35" bestFit="1" customWidth="1"/>
    <col min="22" max="22" width="13.36328125" style="35" bestFit="1" customWidth="1"/>
    <col min="23" max="23" width="11.90625" style="35" bestFit="1" customWidth="1"/>
    <col min="24" max="24" width="10.26953125" style="35"/>
    <col min="25" max="25" width="18" style="35" customWidth="1"/>
    <col min="26" max="26" width="9.7265625" style="35" bestFit="1" customWidth="1"/>
    <col min="27" max="27" width="8.36328125" style="35" bestFit="1" customWidth="1"/>
    <col min="28" max="28" width="13.36328125" style="35" bestFit="1" customWidth="1"/>
    <col min="29" max="29" width="11.90625" style="35" bestFit="1" customWidth="1"/>
    <col min="30" max="30" width="10.26953125" style="35"/>
    <col min="31" max="31" width="14" style="35" customWidth="1"/>
    <col min="32" max="32" width="9.7265625" style="35" bestFit="1" customWidth="1"/>
    <col min="33" max="33" width="8.36328125" style="35" bestFit="1" customWidth="1"/>
    <col min="34" max="34" width="13.36328125" style="35" bestFit="1" customWidth="1"/>
    <col min="35" max="35" width="11.90625" style="35" bestFit="1" customWidth="1"/>
    <col min="36" max="36" width="10.26953125" style="35"/>
    <col min="37" max="37" width="14.08984375" style="35" customWidth="1"/>
    <col min="38" max="38" width="9.7265625" style="35" bestFit="1" customWidth="1"/>
    <col min="39" max="39" width="8.36328125" style="35" bestFit="1" customWidth="1"/>
    <col min="40" max="40" width="13.36328125" style="35" bestFit="1" customWidth="1"/>
    <col min="41" max="41" width="11.90625" style="35" bestFit="1" customWidth="1"/>
    <col min="42" max="42" width="10.26953125" style="35"/>
    <col min="43" max="43" width="16.26953125" style="35" customWidth="1"/>
    <col min="44" max="44" width="9.7265625" style="35" bestFit="1" customWidth="1"/>
    <col min="45" max="45" width="8.36328125" style="35" bestFit="1" customWidth="1"/>
    <col min="46" max="46" width="13.36328125" style="35" bestFit="1" customWidth="1"/>
    <col min="47" max="47" width="11.90625" style="35" bestFit="1" customWidth="1"/>
    <col min="48" max="48" width="10.26953125" style="35"/>
    <col min="49" max="49" width="16.453125" style="35" customWidth="1"/>
    <col min="50" max="50" width="9.7265625" style="35" bestFit="1" customWidth="1"/>
    <col min="51" max="51" width="8.36328125" style="35" bestFit="1" customWidth="1"/>
    <col min="52" max="52" width="13.36328125" style="35" bestFit="1" customWidth="1"/>
    <col min="53" max="53" width="11.90625" style="35" bestFit="1" customWidth="1"/>
    <col min="54" max="54" width="10.26953125" style="35"/>
    <col min="55" max="55" width="14.81640625" style="35" customWidth="1"/>
    <col min="56" max="56" width="9.7265625" style="35" bestFit="1" customWidth="1"/>
    <col min="57" max="57" width="8.36328125" style="35" bestFit="1" customWidth="1"/>
    <col min="58" max="58" width="13.36328125" style="35" bestFit="1" customWidth="1"/>
    <col min="59" max="59" width="11.90625" style="35" bestFit="1" customWidth="1"/>
    <col min="60" max="16384" width="10.26953125" style="35"/>
  </cols>
  <sheetData>
    <row r="1" spans="1:59" s="39" customFormat="1" ht="15" x14ac:dyDescent="0.35">
      <c r="A1" s="38" t="s">
        <v>91</v>
      </c>
      <c r="B1" s="38" t="s">
        <v>45</v>
      </c>
      <c r="C1" s="38" t="s">
        <v>46</v>
      </c>
      <c r="D1" s="38" t="s">
        <v>47</v>
      </c>
      <c r="E1" s="38" t="s">
        <v>48</v>
      </c>
      <c r="G1" s="38" t="s">
        <v>91</v>
      </c>
      <c r="H1" s="38" t="s">
        <v>45</v>
      </c>
      <c r="I1" s="38" t="s">
        <v>46</v>
      </c>
      <c r="J1" s="38" t="s">
        <v>47</v>
      </c>
      <c r="K1" s="38" t="s">
        <v>48</v>
      </c>
      <c r="M1" s="38" t="s">
        <v>91</v>
      </c>
      <c r="N1" s="38" t="s">
        <v>45</v>
      </c>
      <c r="O1" s="38" t="s">
        <v>46</v>
      </c>
      <c r="P1" s="38" t="s">
        <v>47</v>
      </c>
      <c r="Q1" s="38" t="s">
        <v>48</v>
      </c>
      <c r="S1" s="38" t="s">
        <v>91</v>
      </c>
      <c r="T1" s="38" t="s">
        <v>45</v>
      </c>
      <c r="U1" s="38" t="s">
        <v>46</v>
      </c>
      <c r="V1" s="38" t="s">
        <v>47</v>
      </c>
      <c r="W1" s="38" t="s">
        <v>48</v>
      </c>
      <c r="Y1" s="38" t="s">
        <v>91</v>
      </c>
      <c r="Z1" s="38" t="s">
        <v>45</v>
      </c>
      <c r="AA1" s="38" t="s">
        <v>46</v>
      </c>
      <c r="AB1" s="38" t="s">
        <v>47</v>
      </c>
      <c r="AC1" s="38" t="s">
        <v>48</v>
      </c>
      <c r="AE1" s="38" t="s">
        <v>91</v>
      </c>
      <c r="AF1" s="38" t="s">
        <v>45</v>
      </c>
      <c r="AG1" s="38" t="s">
        <v>46</v>
      </c>
      <c r="AH1" s="38" t="s">
        <v>47</v>
      </c>
      <c r="AI1" s="38" t="s">
        <v>48</v>
      </c>
      <c r="AK1" s="38" t="s">
        <v>91</v>
      </c>
      <c r="AL1" s="38" t="s">
        <v>45</v>
      </c>
      <c r="AM1" s="38" t="s">
        <v>46</v>
      </c>
      <c r="AN1" s="38" t="s">
        <v>47</v>
      </c>
      <c r="AO1" s="38" t="s">
        <v>48</v>
      </c>
      <c r="AQ1" s="38" t="s">
        <v>91</v>
      </c>
      <c r="AR1" s="38" t="s">
        <v>45</v>
      </c>
      <c r="AS1" s="38" t="s">
        <v>46</v>
      </c>
      <c r="AT1" s="38" t="s">
        <v>47</v>
      </c>
      <c r="AU1" s="38" t="s">
        <v>48</v>
      </c>
      <c r="AW1" s="38" t="s">
        <v>91</v>
      </c>
      <c r="AX1" s="38" t="s">
        <v>45</v>
      </c>
      <c r="AY1" s="38" t="s">
        <v>46</v>
      </c>
      <c r="AZ1" s="38" t="s">
        <v>47</v>
      </c>
      <c r="BA1" s="38" t="s">
        <v>48</v>
      </c>
      <c r="BC1" s="38" t="s">
        <v>91</v>
      </c>
      <c r="BD1" s="38" t="s">
        <v>45</v>
      </c>
      <c r="BE1" s="38" t="s">
        <v>46</v>
      </c>
      <c r="BF1" s="38" t="s">
        <v>47</v>
      </c>
      <c r="BG1" s="38" t="s">
        <v>48</v>
      </c>
    </row>
    <row r="2" spans="1:59" ht="21" customHeight="1" x14ac:dyDescent="0.35">
      <c r="A2" s="49" t="s">
        <v>92</v>
      </c>
      <c r="B2" s="34" t="str" cm="1">
        <f t="array" ref="B2">INDEX('Validity Result'!A:A,3*ROW('Validity Table'!B1))</f>
        <v>AF1</v>
      </c>
      <c r="C2" s="34" t="str" cm="1">
        <f t="array" ref="C2">INDEX('Validity Result'!E:E,3*ROW('Validity Table'!B1))</f>
        <v>0,965**</v>
      </c>
      <c r="D2" s="37" cm="1">
        <f t="array" ref="D2">INDEX('Validity Result'!E:E,3*ROW('Validity Table'!B1)+1)</f>
        <v>7.7488886685920085E-32</v>
      </c>
      <c r="E2" s="34" t="str">
        <f>IF(D2&lt;0.05,"Valid","Tidak Valid")</f>
        <v>Valid</v>
      </c>
      <c r="G2" s="49" t="s">
        <v>93</v>
      </c>
      <c r="H2" s="34" t="str" cm="1">
        <f t="array" ref="H2">INDEX('Validity Result'!G:G,3*ROW('Validity Table'!H1))</f>
        <v>CCC1</v>
      </c>
      <c r="I2" s="34" t="str" cm="1">
        <f t="array" ref="I2">INDEX('Validity Result'!L:L,3*ROW('Validity Table'!H1))</f>
        <v>0,952**</v>
      </c>
      <c r="J2" s="34" cm="1">
        <f t="array" ref="J2">INDEX('Validity Result'!L:L,3*ROW('Validity Table'!H1)+1)</f>
        <v>2.0290924417611646E-28</v>
      </c>
      <c r="K2" s="34" t="str">
        <f>IF(J2&lt;0.05,"Valid","Tidak Valid")</f>
        <v>Valid</v>
      </c>
      <c r="M2" s="49" t="s">
        <v>94</v>
      </c>
      <c r="N2" s="34" t="str" cm="1">
        <f t="array" ref="N2">INDEX('Validity Result'!N:N,3*ROW('Validity Table'!N1))</f>
        <v>CC1</v>
      </c>
      <c r="O2" s="34" t="str" cm="1">
        <f t="array" ref="O2">INDEX('Validity Result'!S:S,3*ROW('Validity Table'!N1))</f>
        <v>0,678**</v>
      </c>
      <c r="P2" s="34" cm="1">
        <f t="array" ref="P2">INDEX('Validity Result'!S:S,3*ROW('Validity Table'!N1)+1)</f>
        <v>1.7623273433111993E-8</v>
      </c>
      <c r="Q2" s="34" t="str">
        <f>IF(P2&lt;0.05,"Valid","Tidak Valid")</f>
        <v>Valid</v>
      </c>
      <c r="S2" s="49" t="s">
        <v>95</v>
      </c>
      <c r="T2" s="34" t="str" cm="1">
        <f t="array" ref="T2">INDEX('Validity Result'!U:U,3*ROW('Validity Table'!T1))</f>
        <v>PTIC1</v>
      </c>
      <c r="U2" s="34" t="str" cm="1">
        <f t="array" ref="U2">INDEX('Validity Result'!Z:Z,3*ROW('Validity Table'!T1))</f>
        <v>0,861**</v>
      </c>
      <c r="V2" s="34" cm="1">
        <f t="array" ref="V2">INDEX('Validity Result'!Z:Z,3*ROW('Validity Table'!T1)+1)</f>
        <v>6.589895552598664E-17</v>
      </c>
      <c r="W2" s="34" t="str">
        <f>IF(V2&lt;0.05,"Valid","Tidak Valid")</f>
        <v>Valid</v>
      </c>
      <c r="Y2" s="49" t="s">
        <v>96</v>
      </c>
      <c r="Z2" s="34" t="str" cm="1">
        <f t="array" ref="Z2">INDEX('Validity Result'!AB:AB,3*ROW('Validity Table'!Z1))</f>
        <v>CDTE1</v>
      </c>
      <c r="AA2" s="34" t="str" cm="1">
        <f t="array" ref="AA2">INDEX('Validity Result'!AF:AF,3*ROW('Validity Table'!Z1))</f>
        <v>0,930**</v>
      </c>
      <c r="AB2" s="34" cm="1">
        <f t="array" ref="AB2">INDEX('Validity Result'!AF:AF,3*ROW('Validity Table'!Z1)+1)</f>
        <v>3.3426829246958142E-24</v>
      </c>
      <c r="AC2" s="34" t="str">
        <f>IF(AB2&lt;0.05,"Valid","Tidak Valid")</f>
        <v>Valid</v>
      </c>
      <c r="AE2" s="49" t="s">
        <v>97</v>
      </c>
      <c r="AF2" s="34" t="str" cm="1">
        <f t="array" ref="AF2">INDEX('Validity Result'!AH:AH,3*ROW('Validity Table'!AF1))</f>
        <v>PTC1</v>
      </c>
      <c r="AG2" s="34" t="str" cm="1">
        <f t="array" ref="AG2">INDEX('Validity Result'!AM:AM,3*ROW('Validity Table'!AF1))</f>
        <v>0,856**</v>
      </c>
      <c r="AH2" s="34" cm="1">
        <f t="array" ref="AH2">INDEX('Validity Result'!AM:AM,3*ROW('Validity Table'!AF1)+1)</f>
        <v>1.486471593946895E-16</v>
      </c>
      <c r="AI2" s="34" t="str">
        <f>IF(AH2&lt;0.05,"Valid","Tidak Valid")</f>
        <v>Valid</v>
      </c>
      <c r="AK2" s="49" t="s">
        <v>98</v>
      </c>
      <c r="AL2" s="34" t="str" cm="1">
        <f t="array" ref="AL2">INDEX('Validity Result'!AO:AO,3*ROW('Validity Table'!AL1))</f>
        <v>RHM1</v>
      </c>
      <c r="AM2" s="34" t="str" cm="1">
        <f t="array" ref="AM2">INDEX('Validity Result'!AT:AT,3*ROW('Validity Table'!AL1))</f>
        <v>0,835**</v>
      </c>
      <c r="AN2" s="34" cm="1">
        <f t="array" ref="AN2">INDEX('Validity Result'!AT:AT,3*ROW('Validity Table'!AL1)+1)</f>
        <v>4.4459020432065006E-15</v>
      </c>
      <c r="AO2" s="34" t="str">
        <f>IF(AN2&lt;0.05,"Valid","Tidak Valid")</f>
        <v>Valid</v>
      </c>
      <c r="AQ2" s="49" t="s">
        <v>99</v>
      </c>
      <c r="AR2" s="34" t="str" cm="1">
        <f t="array" ref="AR2">INDEX('Validity Result'!AV:AV,3*ROW('Validity Table'!AR1))</f>
        <v>CLC1</v>
      </c>
      <c r="AS2" s="34" t="str" cm="1">
        <f t="array" ref="AS2">INDEX('Validity Result'!AZ:AZ,3*ROW('Validity Table'!AR1))</f>
        <v>0,855**</v>
      </c>
      <c r="AT2" s="34" cm="1">
        <f t="array" ref="AT2">INDEX('Validity Result'!AZ:AZ,3*ROW('Validity Table'!AR1)+1)</f>
        <v>1.8691546722399598E-16</v>
      </c>
      <c r="AU2" s="34" t="str">
        <f>IF(AT2&lt;0.05,"Valid","Tidak Valid")</f>
        <v>Valid</v>
      </c>
      <c r="AW2" s="49" t="s">
        <v>100</v>
      </c>
      <c r="AX2" s="34" t="str" cm="1">
        <f t="array" ref="AX2">INDEX('Validity Result'!BB:BB,3*ROW('Validity Table'!AX1))</f>
        <v>LDM1</v>
      </c>
      <c r="AY2" s="34" t="str" cm="1">
        <f t="array" ref="AY2">INDEX('Validity Result'!BF:BF,3*ROW('Validity Table'!AX1))</f>
        <v>0,832**</v>
      </c>
      <c r="AZ2" s="34" cm="1">
        <f t="array" ref="AZ2">INDEX('Validity Result'!BF:BF,3*ROW('Validity Table'!AX1)+1)</f>
        <v>6.0746052398569436E-15</v>
      </c>
      <c r="BA2" s="34" t="str">
        <f>IF(AZ2&lt;0.05,"Valid","Tidak Valid")</f>
        <v>Valid</v>
      </c>
      <c r="BC2" s="49" t="s">
        <v>101</v>
      </c>
      <c r="BD2" s="34" t="str" cm="1">
        <f t="array" ref="BD2">INDEX('Validity Result'!BH:BH,3*ROW('Validity Table'!BD1))</f>
        <v>PCS1</v>
      </c>
      <c r="BE2" s="34" t="str" cm="1">
        <f t="array" ref="BE2">INDEX('Validity Result'!BL:BL,3*ROW('Validity Table'!BD1))</f>
        <v>0,876**</v>
      </c>
      <c r="BF2" s="34" cm="1">
        <f t="array" ref="BF2">INDEX('Validity Result'!BL:BL,3*ROW('Validity Table'!BD1)+1)</f>
        <v>4.2683253802511655E-18</v>
      </c>
      <c r="BG2" s="34" t="str">
        <f>IF(BF2&lt;0.05,"Valid","Tidak Valid")</f>
        <v>Valid</v>
      </c>
    </row>
    <row r="3" spans="1:59" ht="21" customHeight="1" x14ac:dyDescent="0.35">
      <c r="A3" s="49"/>
      <c r="B3" s="34" t="str" cm="1">
        <f t="array" ref="B3">INDEX('Validity Result'!A:A,3*ROW('Validity Table'!B2))</f>
        <v>AF2</v>
      </c>
      <c r="C3" s="34" t="str" cm="1">
        <f t="array" ref="C3">INDEX('Validity Result'!E:E,3*ROW('Validity Table'!B2))</f>
        <v>0,960**</v>
      </c>
      <c r="D3" s="34" cm="1">
        <f t="array" ref="D3">INDEX('Validity Result'!E:E,3*ROW('Validity Table'!B2)+1)</f>
        <v>1.7000206652908829E-30</v>
      </c>
      <c r="E3" s="34" t="str">
        <f>IF(D3&lt;0.05,"Valid","Tidak Valid")</f>
        <v>Valid</v>
      </c>
      <c r="G3" s="49"/>
      <c r="H3" s="34" t="str" cm="1">
        <f t="array" ref="H3">INDEX('Validity Result'!G:G,3*ROW('Validity Table'!H2))</f>
        <v>CCC2</v>
      </c>
      <c r="I3" s="34" t="str" cm="1">
        <f t="array" ref="I3">INDEX('Validity Result'!L:L,3*ROW('Validity Table'!H2))</f>
        <v>0,967**</v>
      </c>
      <c r="J3" s="34" cm="1">
        <f t="array" ref="J3">INDEX('Validity Result'!L:L,3*ROW('Validity Table'!H2)+1)</f>
        <v>1.1900670477226009E-32</v>
      </c>
      <c r="K3" s="34" t="str">
        <f>IF(J3&lt;0.05,"Valid","Tidak Valid")</f>
        <v>Valid</v>
      </c>
      <c r="M3" s="49"/>
      <c r="N3" s="34" t="str" cm="1">
        <f t="array" ref="N3">INDEX('Validity Result'!N:N,3*ROW('Validity Table'!N2))</f>
        <v>CC2</v>
      </c>
      <c r="O3" s="34" t="str" cm="1">
        <f t="array" ref="O3">INDEX('Validity Result'!S:S,3*ROW('Validity Table'!N2))</f>
        <v>0,740**</v>
      </c>
      <c r="P3" s="34" cm="1">
        <f t="array" ref="P3">INDEX('Validity Result'!S:S,3*ROW('Validity Table'!N2)+1)</f>
        <v>1.6049269299714318E-10</v>
      </c>
      <c r="Q3" s="34" t="str">
        <f>IF(P3&lt;0.05,"Valid","Tidak Valid")</f>
        <v>Valid</v>
      </c>
      <c r="S3" s="49"/>
      <c r="T3" s="34" t="str" cm="1">
        <f t="array" ref="T3">INDEX('Validity Result'!U:U,3*ROW('Validity Table'!T2))</f>
        <v>PTIC2</v>
      </c>
      <c r="U3" s="34" t="str" cm="1">
        <f t="array" ref="U3">INDEX('Validity Result'!Z:Z,3*ROW('Validity Table'!T2))</f>
        <v>0,811**</v>
      </c>
      <c r="V3" s="34" cm="1">
        <f t="array" ref="V3">INDEX('Validity Result'!Z:Z,3*ROW('Validity Table'!T2)+1)</f>
        <v>1.0404482967346501E-13</v>
      </c>
      <c r="W3" s="34" t="str">
        <f>IF(V3&lt;0.05,"Valid","Tidak Valid")</f>
        <v>Valid</v>
      </c>
      <c r="Y3" s="49"/>
      <c r="Z3" s="34" t="str" cm="1">
        <f t="array" ref="Z3">INDEX('Validity Result'!AB:AB,3*ROW('Validity Table'!Z2))</f>
        <v>CDTE2</v>
      </c>
      <c r="AA3" s="34" t="str" cm="1">
        <f t="array" ref="AA3">INDEX('Validity Result'!AF:AF,3*ROW('Validity Table'!Z2))</f>
        <v>0,918**</v>
      </c>
      <c r="AB3" s="34" cm="1">
        <f t="array" ref="AB3">INDEX('Validity Result'!AF:AF,3*ROW('Validity Table'!Z2)+1)</f>
        <v>1.4060832542818713E-22</v>
      </c>
      <c r="AC3" s="34" t="str">
        <f>IF(AB3&lt;0.05,"Valid","Tidak Valid")</f>
        <v>Valid</v>
      </c>
      <c r="AE3" s="49"/>
      <c r="AF3" s="34" t="str" cm="1">
        <f t="array" ref="AF3">INDEX('Validity Result'!AH:AH,3*ROW('Validity Table'!AF2))</f>
        <v>PTC2</v>
      </c>
      <c r="AG3" s="34" t="str" cm="1">
        <f t="array" ref="AG3">INDEX('Validity Result'!AM:AM,3*ROW('Validity Table'!AF2))</f>
        <v>0,872**</v>
      </c>
      <c r="AH3" s="34" cm="1">
        <f t="array" ref="AH3">INDEX('Validity Result'!AM:AM,3*ROW('Validity Table'!AF2)+1)</f>
        <v>9.5454100569134992E-18</v>
      </c>
      <c r="AI3" s="34" t="str">
        <f>IF(AH3&lt;0.05,"Valid","Tidak Valid")</f>
        <v>Valid</v>
      </c>
      <c r="AK3" s="49"/>
      <c r="AL3" s="34" t="str" cm="1">
        <f t="array" ref="AL3">INDEX('Validity Result'!AO:AO,3*ROW('Validity Table'!AL2))</f>
        <v>RHM2</v>
      </c>
      <c r="AM3" s="34" t="str" cm="1">
        <f t="array" ref="AM3">INDEX('Validity Result'!AT:AT,3*ROW('Validity Table'!AL2))</f>
        <v>0,846**</v>
      </c>
      <c r="AN3" s="34" cm="1">
        <f t="array" ref="AN3">INDEX('Validity Result'!AT:AT,3*ROW('Validity Table'!AL2)+1)</f>
        <v>8.2084642215724661E-16</v>
      </c>
      <c r="AO3" s="34" t="str">
        <f>IF(AN3&lt;0.05,"Valid","Tidak Valid")</f>
        <v>Valid</v>
      </c>
      <c r="AQ3" s="49"/>
      <c r="AR3" s="34" t="str" cm="1">
        <f t="array" ref="AR3">INDEX('Validity Result'!AV:AV,3*ROW('Validity Table'!AR2))</f>
        <v>CLC2</v>
      </c>
      <c r="AS3" s="34" t="str" cm="1">
        <f t="array" ref="AS3">INDEX('Validity Result'!AZ:AZ,3*ROW('Validity Table'!AR2))</f>
        <v>0,875**</v>
      </c>
      <c r="AT3" s="34" cm="1">
        <f t="array" ref="AT3">INDEX('Validity Result'!AZ:AZ,3*ROW('Validity Table'!AR2)+1)</f>
        <v>5.6920657568859546E-18</v>
      </c>
      <c r="AU3" s="34" t="str">
        <f>IF(AT3&lt;0.05,"Valid","Tidak Valid")</f>
        <v>Valid</v>
      </c>
      <c r="AW3" s="49"/>
      <c r="AX3" s="34" t="str" cm="1">
        <f t="array" ref="AX3">INDEX('Validity Result'!BB:BB,3*ROW('Validity Table'!AX2))</f>
        <v>LDM2</v>
      </c>
      <c r="AY3" s="34" t="str" cm="1">
        <f t="array" ref="AY3">INDEX('Validity Result'!BF:BF,3*ROW('Validity Table'!AX2))</f>
        <v>0,894**</v>
      </c>
      <c r="AZ3" s="34" cm="1">
        <f t="array" ref="AZ3">INDEX('Validity Result'!BF:BF,3*ROW('Validity Table'!AX2)+1)</f>
        <v>1.0188663483789937E-19</v>
      </c>
      <c r="BA3" s="34" t="str">
        <f>IF(AZ3&lt;0.05,"Valid","Tidak Valid")</f>
        <v>Valid</v>
      </c>
      <c r="BC3" s="49"/>
      <c r="BD3" s="34" t="str" cm="1">
        <f t="array" ref="BD3">INDEX('Validity Result'!BH:BH,3*ROW('Validity Table'!BD2))</f>
        <v>PCS2</v>
      </c>
      <c r="BE3" s="34" t="str" cm="1">
        <f t="array" ref="BE3">INDEX('Validity Result'!BL:BL,3*ROW('Validity Table'!BD2))</f>
        <v>0,772**</v>
      </c>
      <c r="BF3" s="34" cm="1">
        <f t="array" ref="BF3">INDEX('Validity Result'!BL:BL,3*ROW('Validity Table'!BD2)+1)</f>
        <v>8.1424226797823357E-12</v>
      </c>
      <c r="BG3" s="34" t="str">
        <f>IF(BF3&lt;0.05,"Valid","Tidak Valid")</f>
        <v>Valid</v>
      </c>
    </row>
    <row r="4" spans="1:59" x14ac:dyDescent="0.35">
      <c r="G4" s="49"/>
      <c r="H4" s="34" t="str" cm="1">
        <f t="array" ref="H4">INDEX('Validity Result'!G:G,3*ROW('Validity Table'!H3))</f>
        <v>CCC3</v>
      </c>
      <c r="I4" s="34" t="str" cm="1">
        <f t="array" ref="I4">INDEX('Validity Result'!L:L,3*ROW('Validity Table'!H3))</f>
        <v>0,903**</v>
      </c>
      <c r="J4" s="34" cm="1">
        <f t="array" ref="J4">INDEX('Validity Result'!L:L,3*ROW('Validity Table'!H3)+1)</f>
        <v>1.1310426677516671E-20</v>
      </c>
      <c r="K4" s="34" t="str">
        <f>IF(J4&lt;0.05,"Valid","Tidak Valid")</f>
        <v>Valid</v>
      </c>
      <c r="M4" s="49"/>
      <c r="N4" s="34" t="str" cm="1">
        <f t="array" ref="N4">INDEX('Validity Result'!N:N,3*ROW('Validity Table'!N3))</f>
        <v>CC3</v>
      </c>
      <c r="O4" s="34" t="str" cm="1">
        <f t="array" ref="O4">INDEX('Validity Result'!S:S,3*ROW('Validity Table'!N3))</f>
        <v>0,721**</v>
      </c>
      <c r="P4" s="34" cm="1">
        <f t="array" ref="P4">INDEX('Validity Result'!S:S,3*ROW('Validity Table'!N3)+1)</f>
        <v>7.558227773098564E-10</v>
      </c>
      <c r="Q4" s="34" t="str">
        <f>IF(P4&lt;0.05,"Valid","Tidak Valid")</f>
        <v>Valid</v>
      </c>
      <c r="S4" s="49"/>
      <c r="T4" s="34" t="str" cm="1">
        <f t="array" ref="T4">INDEX('Validity Result'!U:U,3*ROW('Validity Table'!T3))</f>
        <v>PTIC3</v>
      </c>
      <c r="U4" s="34" t="str" cm="1">
        <f t="array" ref="U4">INDEX('Validity Result'!Z:Z,3*ROW('Validity Table'!T3))</f>
        <v>0,853**</v>
      </c>
      <c r="V4" s="34" cm="1">
        <f t="array" ref="V4">INDEX('Validity Result'!Z:Z,3*ROW('Validity Table'!T3)+1)</f>
        <v>2.4429599026158049E-16</v>
      </c>
      <c r="W4" s="34" t="str">
        <f>IF(V4&lt;0.05,"Valid","Tidak Valid")</f>
        <v>Valid</v>
      </c>
      <c r="AE4" s="49"/>
      <c r="AF4" s="34" t="str" cm="1">
        <f t="array" ref="AF4">INDEX('Validity Result'!AH:AH,3*ROW('Validity Table'!AF3))</f>
        <v>PTC3</v>
      </c>
      <c r="AG4" s="34" t="str" cm="1">
        <f t="array" ref="AG4">INDEX('Validity Result'!AM:AM,3*ROW('Validity Table'!AF3))</f>
        <v>0,910**</v>
      </c>
      <c r="AH4" s="34" cm="1">
        <f t="array" ref="AH4">INDEX('Validity Result'!AM:AM,3*ROW('Validity Table'!AF3)+1)</f>
        <v>1.6716478748537E-21</v>
      </c>
      <c r="AI4" s="34" t="str">
        <f>IF(AH4&lt;0.05,"Valid","Tidak Valid")</f>
        <v>Valid</v>
      </c>
      <c r="AK4" s="49"/>
      <c r="AL4" s="34" t="str" cm="1">
        <f t="array" ref="AL4">INDEX('Validity Result'!AO:AO,3*ROW('Validity Table'!AL3))</f>
        <v>RHM3</v>
      </c>
      <c r="AM4" s="34" t="str" cm="1">
        <f t="array" ref="AM4">INDEX('Validity Result'!AT:AT,3*ROW('Validity Table'!AL3))</f>
        <v>0,747**</v>
      </c>
      <c r="AN4" s="34" cm="1">
        <f t="array" ref="AN4">INDEX('Validity Result'!AT:AT,3*ROW('Validity Table'!AL3)+1)</f>
        <v>8.6617708833003747E-11</v>
      </c>
      <c r="AO4" s="34" t="str">
        <f>IF(AN4&lt;0.05,"Valid","Tidak Valid")</f>
        <v>Valid</v>
      </c>
    </row>
  </sheetData>
  <mergeCells count="10">
    <mergeCell ref="A2:A3"/>
    <mergeCell ref="Y2:Y3"/>
    <mergeCell ref="AQ2:AQ3"/>
    <mergeCell ref="AW2:AW3"/>
    <mergeCell ref="BC2:BC3"/>
    <mergeCell ref="G2:G4"/>
    <mergeCell ref="M2:M4"/>
    <mergeCell ref="S2:S4"/>
    <mergeCell ref="AE2:AE4"/>
    <mergeCell ref="AK2:A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416C8-D176-4741-B58D-8A04DE335475}">
  <dimension ref="A1:C39"/>
  <sheetViews>
    <sheetView workbookViewId="0">
      <selection activeCell="F9" sqref="F9"/>
    </sheetView>
  </sheetViews>
  <sheetFormatPr defaultRowHeight="14.5" x14ac:dyDescent="0.35"/>
  <sheetData>
    <row r="1" spans="1:3" x14ac:dyDescent="0.35">
      <c r="A1" s="50" t="s">
        <v>42</v>
      </c>
      <c r="B1" s="50"/>
      <c r="C1" s="29"/>
    </row>
    <row r="2" spans="1:3" ht="24" x14ac:dyDescent="0.35">
      <c r="A2" s="30" t="s">
        <v>43</v>
      </c>
      <c r="B2" s="31" t="s">
        <v>44</v>
      </c>
      <c r="C2" s="29"/>
    </row>
    <row r="3" spans="1:3" x14ac:dyDescent="0.35">
      <c r="A3" s="32">
        <v>0.91987719124491996</v>
      </c>
      <c r="B3" s="33">
        <v>2</v>
      </c>
      <c r="C3" s="29"/>
    </row>
    <row r="5" spans="1:3" x14ac:dyDescent="0.35">
      <c r="A5" s="50" t="s">
        <v>42</v>
      </c>
      <c r="B5" s="50"/>
      <c r="C5" s="29"/>
    </row>
    <row r="6" spans="1:3" ht="24" x14ac:dyDescent="0.35">
      <c r="A6" s="30" t="s">
        <v>43</v>
      </c>
      <c r="B6" s="31" t="s">
        <v>44</v>
      </c>
      <c r="C6" s="29"/>
    </row>
    <row r="7" spans="1:3" x14ac:dyDescent="0.35">
      <c r="A7" s="32">
        <v>0.93215282083075057</v>
      </c>
      <c r="B7" s="33">
        <v>3</v>
      </c>
      <c r="C7" s="29"/>
    </row>
    <row r="9" spans="1:3" x14ac:dyDescent="0.35">
      <c r="A9" s="50" t="s">
        <v>42</v>
      </c>
      <c r="B9" s="50"/>
      <c r="C9" s="29"/>
    </row>
    <row r="10" spans="1:3" ht="24" x14ac:dyDescent="0.35">
      <c r="A10" s="30" t="s">
        <v>43</v>
      </c>
      <c r="B10" s="31" t="s">
        <v>44</v>
      </c>
      <c r="C10" s="29"/>
    </row>
    <row r="11" spans="1:3" x14ac:dyDescent="0.35">
      <c r="A11" s="32">
        <v>0.4971547536432952</v>
      </c>
      <c r="B11" s="33">
        <v>3</v>
      </c>
      <c r="C11" s="29"/>
    </row>
    <row r="13" spans="1:3" x14ac:dyDescent="0.35">
      <c r="A13" s="50" t="s">
        <v>42</v>
      </c>
      <c r="B13" s="50"/>
      <c r="C13" s="29"/>
    </row>
    <row r="14" spans="1:3" ht="24" x14ac:dyDescent="0.35">
      <c r="A14" s="30" t="s">
        <v>43</v>
      </c>
      <c r="B14" s="31" t="s">
        <v>44</v>
      </c>
      <c r="C14" s="29"/>
    </row>
    <row r="15" spans="1:3" x14ac:dyDescent="0.35">
      <c r="A15" s="32">
        <v>0.79097276264591432</v>
      </c>
      <c r="B15" s="33">
        <v>3</v>
      </c>
      <c r="C15" s="29"/>
    </row>
    <row r="17" spans="1:3" x14ac:dyDescent="0.35">
      <c r="A17" s="50" t="s">
        <v>42</v>
      </c>
      <c r="B17" s="50"/>
      <c r="C17" s="29"/>
    </row>
    <row r="18" spans="1:3" ht="24" x14ac:dyDescent="0.35">
      <c r="A18" s="30" t="s">
        <v>43</v>
      </c>
      <c r="B18" s="31" t="s">
        <v>44</v>
      </c>
      <c r="C18" s="29"/>
    </row>
    <row r="19" spans="1:3" x14ac:dyDescent="0.35">
      <c r="A19" s="32">
        <v>0.82770488277048559</v>
      </c>
      <c r="B19" s="33">
        <v>2</v>
      </c>
      <c r="C19" s="29"/>
    </row>
    <row r="21" spans="1:3" x14ac:dyDescent="0.35">
      <c r="A21" s="50" t="s">
        <v>42</v>
      </c>
      <c r="B21" s="50"/>
      <c r="C21" s="29"/>
    </row>
    <row r="22" spans="1:3" ht="24" x14ac:dyDescent="0.35">
      <c r="A22" s="30" t="s">
        <v>43</v>
      </c>
      <c r="B22" s="31" t="s">
        <v>44</v>
      </c>
      <c r="C22" s="29"/>
    </row>
    <row r="23" spans="1:3" x14ac:dyDescent="0.35">
      <c r="A23" s="32">
        <v>0.83029708520181034</v>
      </c>
      <c r="B23" s="33">
        <v>3</v>
      </c>
      <c r="C23" s="29"/>
    </row>
    <row r="25" spans="1:3" x14ac:dyDescent="0.35">
      <c r="A25" s="50" t="s">
        <v>42</v>
      </c>
      <c r="B25" s="50"/>
      <c r="C25" s="29"/>
    </row>
    <row r="26" spans="1:3" ht="24" x14ac:dyDescent="0.35">
      <c r="A26" s="30" t="s">
        <v>43</v>
      </c>
      <c r="B26" s="31" t="s">
        <v>44</v>
      </c>
      <c r="C26" s="29"/>
    </row>
    <row r="27" spans="1:3" x14ac:dyDescent="0.35">
      <c r="A27" s="32">
        <v>0.72369618480924491</v>
      </c>
      <c r="B27" s="33">
        <v>3</v>
      </c>
      <c r="C27" s="29"/>
    </row>
    <row r="29" spans="1:3" x14ac:dyDescent="0.35">
      <c r="A29" s="50" t="s">
        <v>42</v>
      </c>
      <c r="B29" s="50"/>
      <c r="C29" s="29"/>
    </row>
    <row r="30" spans="1:3" ht="24" x14ac:dyDescent="0.35">
      <c r="A30" s="30" t="s">
        <v>43</v>
      </c>
      <c r="B30" s="31" t="s">
        <v>44</v>
      </c>
      <c r="C30" s="29"/>
    </row>
    <row r="31" spans="1:3" x14ac:dyDescent="0.35">
      <c r="A31" s="32">
        <v>0.66245181187355384</v>
      </c>
      <c r="B31" s="33">
        <v>2</v>
      </c>
      <c r="C31" s="29"/>
    </row>
    <row r="33" spans="1:3" x14ac:dyDescent="0.35">
      <c r="A33" s="50" t="s">
        <v>42</v>
      </c>
      <c r="B33" s="50"/>
      <c r="C33" s="29"/>
    </row>
    <row r="34" spans="1:3" ht="24" x14ac:dyDescent="0.35">
      <c r="A34" s="30" t="s">
        <v>43</v>
      </c>
      <c r="B34" s="31" t="s">
        <v>44</v>
      </c>
      <c r="C34" s="29"/>
    </row>
    <row r="35" spans="1:3" x14ac:dyDescent="0.35">
      <c r="A35" s="32">
        <v>0.65253898440625346</v>
      </c>
      <c r="B35" s="33">
        <v>2</v>
      </c>
      <c r="C35" s="29"/>
    </row>
    <row r="37" spans="1:3" x14ac:dyDescent="0.35">
      <c r="A37" s="50" t="s">
        <v>42</v>
      </c>
      <c r="B37" s="50"/>
      <c r="C37" s="29"/>
    </row>
    <row r="38" spans="1:3" ht="24" x14ac:dyDescent="0.35">
      <c r="A38" s="30" t="s">
        <v>43</v>
      </c>
      <c r="B38" s="31" t="s">
        <v>44</v>
      </c>
      <c r="C38" s="29"/>
    </row>
    <row r="39" spans="1:3" x14ac:dyDescent="0.35">
      <c r="A39" s="32">
        <v>0.52530779753762924</v>
      </c>
      <c r="B39" s="33">
        <v>2</v>
      </c>
      <c r="C39" s="29"/>
    </row>
  </sheetData>
  <mergeCells count="10">
    <mergeCell ref="A25:B25"/>
    <mergeCell ref="A29:B29"/>
    <mergeCell ref="A33:B33"/>
    <mergeCell ref="A37:B37"/>
    <mergeCell ref="A1:B1"/>
    <mergeCell ref="A5:B5"/>
    <mergeCell ref="A9:B9"/>
    <mergeCell ref="A13:B13"/>
    <mergeCell ref="A17:B17"/>
    <mergeCell ref="A21:B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3C9B-DFC8-4BE8-8709-2AF17B128604}">
  <dimension ref="A1:C11"/>
  <sheetViews>
    <sheetView workbookViewId="0">
      <selection activeCell="E9" sqref="E9"/>
    </sheetView>
  </sheetViews>
  <sheetFormatPr defaultRowHeight="14.5" x14ac:dyDescent="0.35"/>
  <cols>
    <col min="1" max="1" width="8.1796875" bestFit="1" customWidth="1"/>
    <col min="2" max="2" width="16.453125" bestFit="1" customWidth="1"/>
    <col min="3" max="3" width="13.6328125" bestFit="1" customWidth="1"/>
  </cols>
  <sheetData>
    <row r="1" spans="1:3" ht="15.5" x14ac:dyDescent="0.35">
      <c r="A1" s="34" t="s">
        <v>91</v>
      </c>
      <c r="B1" s="34" t="s">
        <v>43</v>
      </c>
      <c r="C1" s="34" t="s">
        <v>48</v>
      </c>
    </row>
    <row r="2" spans="1:3" ht="15.5" x14ac:dyDescent="0.35">
      <c r="A2" s="34" t="s">
        <v>4</v>
      </c>
      <c r="B2" s="34" cm="1">
        <f t="array" ref="B2">INDEX('Reliability Result'!A:A,3*ROW('Reliability Table'!A1)+ROW('Reliability Table'!A1)-1)</f>
        <v>0.91987719124491996</v>
      </c>
      <c r="C2" s="34" t="str">
        <f>IF(B2&gt;0.6,"Reliabel","Tidak Reliabel")</f>
        <v>Reliabel</v>
      </c>
    </row>
    <row r="3" spans="1:3" ht="15.5" x14ac:dyDescent="0.35">
      <c r="A3" s="34" t="s">
        <v>12</v>
      </c>
      <c r="B3" s="34" cm="1">
        <f t="array" ref="B3">INDEX('Reliability Result'!A:A,3*ROW('Reliability Table'!A2)+ROW('Reliability Table'!A2)-1)</f>
        <v>0.93215282083075057</v>
      </c>
      <c r="C3" s="34" t="str">
        <f t="shared" ref="C3:C11" si="0">IF(B3&gt;0.6,"Reliabel","Tidak Reliabel")</f>
        <v>Reliabel</v>
      </c>
    </row>
    <row r="4" spans="1:3" ht="15.5" x14ac:dyDescent="0.35">
      <c r="A4" s="34" t="s">
        <v>16</v>
      </c>
      <c r="B4" s="34" cm="1">
        <f t="array" ref="B4">INDEX('Reliability Result'!A:A,3*ROW('Reliability Table'!A3)+ROW('Reliability Table'!A3)-1)</f>
        <v>0.4971547536432952</v>
      </c>
      <c r="C4" s="34" t="str">
        <f t="shared" si="0"/>
        <v>Tidak Reliabel</v>
      </c>
    </row>
    <row r="5" spans="1:3" ht="15.5" x14ac:dyDescent="0.35">
      <c r="A5" s="34" t="s">
        <v>21</v>
      </c>
      <c r="B5" s="34" cm="1">
        <f t="array" ref="B5">INDEX('Reliability Result'!A:A,3*ROW('Reliability Table'!A4)+ROW('Reliability Table'!A4)-1)</f>
        <v>0.79097276264591432</v>
      </c>
      <c r="C5" s="34" t="str">
        <f t="shared" si="0"/>
        <v>Reliabel</v>
      </c>
    </row>
    <row r="6" spans="1:3" ht="15.5" x14ac:dyDescent="0.35">
      <c r="A6" s="34" t="s">
        <v>24</v>
      </c>
      <c r="B6" s="34" cm="1">
        <f t="array" ref="B6">INDEX('Reliability Result'!A:A,3*ROW('Reliability Table'!A5)+ROW('Reliability Table'!A5)-1)</f>
        <v>0.82770488277048559</v>
      </c>
      <c r="C6" s="34" t="str">
        <f t="shared" si="0"/>
        <v>Reliabel</v>
      </c>
    </row>
    <row r="7" spans="1:3" ht="15.5" x14ac:dyDescent="0.35">
      <c r="A7" s="34" t="s">
        <v>28</v>
      </c>
      <c r="B7" s="34" cm="1">
        <f t="array" ref="B7">INDEX('Reliability Result'!A:A,3*ROW('Reliability Table'!A6)+ROW('Reliability Table'!A6)-1)</f>
        <v>0.83029708520181034</v>
      </c>
      <c r="C7" s="34" t="str">
        <f t="shared" si="0"/>
        <v>Reliabel</v>
      </c>
    </row>
    <row r="8" spans="1:3" ht="15.5" x14ac:dyDescent="0.35">
      <c r="A8" s="34" t="s">
        <v>32</v>
      </c>
      <c r="B8" s="34" cm="1">
        <f t="array" ref="B8">INDEX('Reliability Result'!A:A,3*ROW('Reliability Table'!A7)+ROW('Reliability Table'!A7)-1)</f>
        <v>0.72369618480924491</v>
      </c>
      <c r="C8" s="34" t="str">
        <f t="shared" si="0"/>
        <v>Reliabel</v>
      </c>
    </row>
    <row r="9" spans="1:3" ht="15.5" x14ac:dyDescent="0.35">
      <c r="A9" s="34" t="s">
        <v>35</v>
      </c>
      <c r="B9" s="34" cm="1">
        <f t="array" ref="B9">INDEX('Reliability Result'!A:A,3*ROW('Reliability Table'!A8)+ROW('Reliability Table'!A8)-1)</f>
        <v>0.66245181187355384</v>
      </c>
      <c r="C9" s="34" t="str">
        <f t="shared" si="0"/>
        <v>Reliabel</v>
      </c>
    </row>
    <row r="10" spans="1:3" ht="15.5" x14ac:dyDescent="0.35">
      <c r="A10" s="34" t="s">
        <v>38</v>
      </c>
      <c r="B10" s="34" cm="1">
        <f t="array" ref="B10">INDEX('Reliability Result'!A:A,3*ROW('Reliability Table'!A9)+ROW('Reliability Table'!A9)-1)</f>
        <v>0.65253898440625346</v>
      </c>
      <c r="C10" s="34" t="str">
        <f t="shared" si="0"/>
        <v>Reliabel</v>
      </c>
    </row>
    <row r="11" spans="1:3" ht="15.5" x14ac:dyDescent="0.35">
      <c r="A11" s="34" t="s">
        <v>41</v>
      </c>
      <c r="B11" s="34" cm="1">
        <f t="array" ref="B11">INDEX('Reliability Result'!A:A,3*ROW('Reliability Table'!A10)+ROW('Reliability Table'!A10)-1)</f>
        <v>0.52530779753762924</v>
      </c>
      <c r="C11" s="34" t="str">
        <f t="shared" si="0"/>
        <v>Tidak Reliabel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17F23-7527-4D6B-8A4D-6BDBC9D502D5}">
  <dimension ref="A1:F36"/>
  <sheetViews>
    <sheetView tabSelected="1" topLeftCell="A32" workbookViewId="0">
      <selection activeCell="F33" sqref="F33"/>
    </sheetView>
  </sheetViews>
  <sheetFormatPr defaultColWidth="25.7265625" defaultRowHeight="14.5" x14ac:dyDescent="0.35"/>
  <cols>
    <col min="2" max="2" width="14.08984375" bestFit="1" customWidth="1"/>
    <col min="3" max="3" width="9.26953125" bestFit="1" customWidth="1"/>
    <col min="4" max="4" width="9.7265625" bestFit="1" customWidth="1"/>
    <col min="5" max="5" width="5.81640625" bestFit="1" customWidth="1"/>
    <col min="6" max="6" width="13.36328125" bestFit="1" customWidth="1"/>
  </cols>
  <sheetData>
    <row r="1" spans="1:6" ht="15.5" x14ac:dyDescent="0.35">
      <c r="A1" s="34" t="s">
        <v>91</v>
      </c>
      <c r="B1" s="34" t="s">
        <v>45</v>
      </c>
      <c r="C1" s="34" t="s">
        <v>102</v>
      </c>
      <c r="D1" s="34" t="s">
        <v>103</v>
      </c>
      <c r="E1" s="34" t="s">
        <v>104</v>
      </c>
      <c r="F1" s="34" t="s">
        <v>105</v>
      </c>
    </row>
    <row r="2" spans="1:6" ht="15.5" x14ac:dyDescent="0.35">
      <c r="A2" s="49" t="s">
        <v>92</v>
      </c>
      <c r="B2" s="34" t="s">
        <v>2</v>
      </c>
      <c r="C2" s="34">
        <v>1</v>
      </c>
      <c r="D2" s="34">
        <v>5</v>
      </c>
      <c r="E2" s="40">
        <v>4.5199999999999996</v>
      </c>
      <c r="F2" s="40">
        <v>1.0049999999999999</v>
      </c>
    </row>
    <row r="3" spans="1:6" ht="15.5" x14ac:dyDescent="0.35">
      <c r="A3" s="49"/>
      <c r="B3" s="34" t="s">
        <v>3</v>
      </c>
      <c r="C3" s="34">
        <v>1</v>
      </c>
      <c r="D3" s="34">
        <v>5</v>
      </c>
      <c r="E3" s="40">
        <v>4.5</v>
      </c>
      <c r="F3" s="40">
        <v>0.94699999999999995</v>
      </c>
    </row>
    <row r="4" spans="1:6" ht="15.5" x14ac:dyDescent="0.35">
      <c r="A4" s="49" t="s">
        <v>93</v>
      </c>
      <c r="B4" s="34" t="s">
        <v>9</v>
      </c>
      <c r="C4" s="34">
        <v>1</v>
      </c>
      <c r="D4" s="34">
        <v>5</v>
      </c>
      <c r="E4" s="40">
        <v>4.2</v>
      </c>
      <c r="F4" s="40">
        <v>1.139</v>
      </c>
    </row>
    <row r="5" spans="1:6" ht="15.5" x14ac:dyDescent="0.35">
      <c r="A5" s="49"/>
      <c r="B5" s="34" t="s">
        <v>10</v>
      </c>
      <c r="C5" s="34">
        <v>1</v>
      </c>
      <c r="D5" s="34">
        <v>5</v>
      </c>
      <c r="E5" s="40">
        <v>4.28</v>
      </c>
      <c r="F5" s="40">
        <v>1.1399999999999999</v>
      </c>
    </row>
    <row r="6" spans="1:6" ht="15.5" x14ac:dyDescent="0.35">
      <c r="A6" s="49"/>
      <c r="B6" s="34" t="s">
        <v>11</v>
      </c>
      <c r="C6" s="34">
        <v>1</v>
      </c>
      <c r="D6" s="34">
        <v>5</v>
      </c>
      <c r="E6" s="40">
        <v>4.5599999999999996</v>
      </c>
      <c r="F6" s="40">
        <v>0.90400000000000003</v>
      </c>
    </row>
    <row r="7" spans="1:6" ht="15.5" x14ac:dyDescent="0.35">
      <c r="A7" s="49" t="s">
        <v>94</v>
      </c>
      <c r="B7" s="34" t="s">
        <v>13</v>
      </c>
      <c r="C7" s="34">
        <v>3</v>
      </c>
      <c r="D7" s="34">
        <v>5</v>
      </c>
      <c r="E7" s="40">
        <v>4.67</v>
      </c>
      <c r="F7" s="40">
        <v>0.54900000000000004</v>
      </c>
    </row>
    <row r="8" spans="1:6" ht="15.5" x14ac:dyDescent="0.35">
      <c r="A8" s="49"/>
      <c r="B8" s="34" t="s">
        <v>14</v>
      </c>
      <c r="C8" s="34">
        <v>2</v>
      </c>
      <c r="D8" s="34">
        <v>5</v>
      </c>
      <c r="E8" s="40">
        <v>4.24</v>
      </c>
      <c r="F8" s="40">
        <v>0.86699999999999999</v>
      </c>
    </row>
    <row r="9" spans="1:6" ht="15.5" x14ac:dyDescent="0.35">
      <c r="A9" s="49"/>
      <c r="B9" s="34" t="s">
        <v>15</v>
      </c>
      <c r="C9" s="34">
        <v>1</v>
      </c>
      <c r="D9" s="34">
        <v>5</v>
      </c>
      <c r="E9" s="40">
        <v>4.5599999999999996</v>
      </c>
      <c r="F9" s="40">
        <v>0.79300000000000004</v>
      </c>
    </row>
    <row r="10" spans="1:6" ht="15.5" x14ac:dyDescent="0.35">
      <c r="A10" s="49" t="s">
        <v>95</v>
      </c>
      <c r="B10" s="34" t="s">
        <v>18</v>
      </c>
      <c r="C10" s="34">
        <v>2</v>
      </c>
      <c r="D10" s="34">
        <v>5</v>
      </c>
      <c r="E10" s="40">
        <v>4.63</v>
      </c>
      <c r="F10" s="40">
        <v>0.623</v>
      </c>
    </row>
    <row r="11" spans="1:6" ht="15.5" x14ac:dyDescent="0.35">
      <c r="A11" s="49"/>
      <c r="B11" s="34" t="s">
        <v>19</v>
      </c>
      <c r="C11" s="34">
        <v>3</v>
      </c>
      <c r="D11" s="34">
        <v>5</v>
      </c>
      <c r="E11" s="40">
        <v>4.6900000000000004</v>
      </c>
      <c r="F11" s="40">
        <v>0.50700000000000001</v>
      </c>
    </row>
    <row r="12" spans="1:6" ht="15.5" x14ac:dyDescent="0.35">
      <c r="A12" s="49"/>
      <c r="B12" s="34" t="s">
        <v>20</v>
      </c>
      <c r="C12" s="34">
        <v>2</v>
      </c>
      <c r="D12" s="34">
        <v>5</v>
      </c>
      <c r="E12" s="40">
        <v>4.67</v>
      </c>
      <c r="F12" s="40">
        <v>0.64400000000000002</v>
      </c>
    </row>
    <row r="13" spans="1:6" ht="15.5" x14ac:dyDescent="0.35">
      <c r="A13" s="49" t="s">
        <v>96</v>
      </c>
      <c r="B13" s="34" t="s">
        <v>22</v>
      </c>
      <c r="C13" s="34">
        <v>2</v>
      </c>
      <c r="D13" s="34">
        <v>5</v>
      </c>
      <c r="E13" s="40">
        <v>4.59</v>
      </c>
      <c r="F13" s="40">
        <v>0.71399999999999997</v>
      </c>
    </row>
    <row r="14" spans="1:6" ht="15.5" x14ac:dyDescent="0.35">
      <c r="A14" s="49"/>
      <c r="B14" s="34" t="s">
        <v>23</v>
      </c>
      <c r="C14" s="34">
        <v>2</v>
      </c>
      <c r="D14" s="34">
        <v>5</v>
      </c>
      <c r="E14" s="40">
        <v>4.54</v>
      </c>
      <c r="F14" s="40">
        <v>0.66500000000000004</v>
      </c>
    </row>
    <row r="15" spans="1:6" ht="15.5" x14ac:dyDescent="0.35">
      <c r="A15" s="49" t="s">
        <v>97</v>
      </c>
      <c r="B15" s="34" t="s">
        <v>25</v>
      </c>
      <c r="C15" s="34">
        <v>4</v>
      </c>
      <c r="D15" s="34">
        <v>5</v>
      </c>
      <c r="E15" s="40">
        <v>4.7</v>
      </c>
      <c r="F15" s="40">
        <v>0.46100000000000002</v>
      </c>
    </row>
    <row r="16" spans="1:6" ht="15.5" x14ac:dyDescent="0.35">
      <c r="A16" s="49"/>
      <c r="B16" s="34" t="s">
        <v>26</v>
      </c>
      <c r="C16" s="34">
        <v>3</v>
      </c>
      <c r="D16" s="34">
        <v>5</v>
      </c>
      <c r="E16" s="40">
        <v>4.6500000000000004</v>
      </c>
      <c r="F16" s="40">
        <v>0.55500000000000005</v>
      </c>
    </row>
    <row r="17" spans="1:6" ht="15.5" x14ac:dyDescent="0.35">
      <c r="A17" s="49"/>
      <c r="B17" s="34" t="s">
        <v>27</v>
      </c>
      <c r="C17" s="34">
        <v>2</v>
      </c>
      <c r="D17" s="34">
        <v>5</v>
      </c>
      <c r="E17" s="40">
        <v>4.46</v>
      </c>
      <c r="F17" s="40">
        <v>0.77</v>
      </c>
    </row>
    <row r="18" spans="1:6" ht="15.5" x14ac:dyDescent="0.35">
      <c r="A18" s="49" t="s">
        <v>98</v>
      </c>
      <c r="B18" s="34" t="s">
        <v>29</v>
      </c>
      <c r="C18" s="34">
        <v>1</v>
      </c>
      <c r="D18" s="34">
        <v>5</v>
      </c>
      <c r="E18" s="40">
        <v>4.41</v>
      </c>
      <c r="F18" s="40">
        <v>0.88</v>
      </c>
    </row>
    <row r="19" spans="1:6" ht="15.5" x14ac:dyDescent="0.35">
      <c r="A19" s="49"/>
      <c r="B19" s="34" t="s">
        <v>30</v>
      </c>
      <c r="C19" s="34">
        <v>1</v>
      </c>
      <c r="D19" s="34">
        <v>5</v>
      </c>
      <c r="E19" s="40">
        <v>4.41</v>
      </c>
      <c r="F19" s="40">
        <v>0.85799999999999998</v>
      </c>
    </row>
    <row r="20" spans="1:6" ht="15.5" x14ac:dyDescent="0.35">
      <c r="A20" s="49"/>
      <c r="B20" s="34" t="s">
        <v>31</v>
      </c>
      <c r="C20" s="34">
        <v>1</v>
      </c>
      <c r="D20" s="34">
        <v>5</v>
      </c>
      <c r="E20" s="40">
        <v>4.28</v>
      </c>
      <c r="F20" s="40">
        <v>1.036</v>
      </c>
    </row>
    <row r="21" spans="1:6" ht="15.5" x14ac:dyDescent="0.35">
      <c r="A21" s="49" t="s">
        <v>99</v>
      </c>
      <c r="B21" s="34" t="s">
        <v>33</v>
      </c>
      <c r="C21" s="34">
        <v>2</v>
      </c>
      <c r="D21" s="34">
        <v>5</v>
      </c>
      <c r="E21" s="40">
        <v>4.4800000000000004</v>
      </c>
      <c r="F21" s="40">
        <v>0.84099999999999997</v>
      </c>
    </row>
    <row r="22" spans="1:6" ht="15.5" x14ac:dyDescent="0.35">
      <c r="A22" s="49"/>
      <c r="B22" s="34" t="s">
        <v>34</v>
      </c>
      <c r="C22" s="34">
        <v>1</v>
      </c>
      <c r="D22" s="34">
        <v>5</v>
      </c>
      <c r="E22" s="40">
        <v>4.3899999999999997</v>
      </c>
      <c r="F22" s="40">
        <v>0.89900000000000002</v>
      </c>
    </row>
    <row r="23" spans="1:6" ht="15.5" x14ac:dyDescent="0.35">
      <c r="A23" s="49" t="s">
        <v>100</v>
      </c>
      <c r="B23" s="34" t="s">
        <v>36</v>
      </c>
      <c r="C23" s="34">
        <v>3</v>
      </c>
      <c r="D23" s="34">
        <v>5</v>
      </c>
      <c r="E23" s="40">
        <v>4.74</v>
      </c>
      <c r="F23" s="40">
        <v>0.48299999999999998</v>
      </c>
    </row>
    <row r="24" spans="1:6" ht="15.5" x14ac:dyDescent="0.35">
      <c r="A24" s="49"/>
      <c r="B24" s="34" t="s">
        <v>37</v>
      </c>
      <c r="C24" s="34">
        <v>3</v>
      </c>
      <c r="D24" s="34">
        <v>5</v>
      </c>
      <c r="E24" s="40">
        <v>4.6100000000000003</v>
      </c>
      <c r="F24" s="40">
        <v>0.59599999999999997</v>
      </c>
    </row>
    <row r="25" spans="1:6" ht="15.5" x14ac:dyDescent="0.35">
      <c r="A25" s="49" t="s">
        <v>101</v>
      </c>
      <c r="B25" s="34" t="s">
        <v>39</v>
      </c>
      <c r="C25" s="34">
        <v>1</v>
      </c>
      <c r="D25" s="34">
        <v>5</v>
      </c>
      <c r="E25" s="40">
        <v>4.5599999999999996</v>
      </c>
      <c r="F25" s="40">
        <v>0.69099999999999995</v>
      </c>
    </row>
    <row r="26" spans="1:6" ht="15.5" x14ac:dyDescent="0.35">
      <c r="A26" s="49"/>
      <c r="B26" s="34" t="s">
        <v>40</v>
      </c>
      <c r="C26" s="34">
        <v>3</v>
      </c>
      <c r="D26" s="34">
        <v>5</v>
      </c>
      <c r="E26" s="40">
        <v>4.63</v>
      </c>
      <c r="F26" s="40">
        <v>0.52500000000000002</v>
      </c>
    </row>
    <row r="27" spans="1:6" ht="46.5" x14ac:dyDescent="0.35">
      <c r="A27" s="36" t="s">
        <v>116</v>
      </c>
      <c r="B27" s="34" t="s">
        <v>106</v>
      </c>
      <c r="C27" s="34">
        <v>1</v>
      </c>
      <c r="D27" s="34">
        <v>5</v>
      </c>
      <c r="E27" s="40">
        <v>4.13</v>
      </c>
      <c r="F27" s="40">
        <v>0.91200000000000003</v>
      </c>
    </row>
    <row r="28" spans="1:6" ht="46.5" x14ac:dyDescent="0.35">
      <c r="A28" s="41" t="s">
        <v>117</v>
      </c>
      <c r="B28" s="34" t="s">
        <v>107</v>
      </c>
      <c r="C28" s="34">
        <v>1</v>
      </c>
      <c r="D28" s="34">
        <v>5</v>
      </c>
      <c r="E28" s="40">
        <v>4.3099999999999996</v>
      </c>
      <c r="F28" s="40">
        <v>0.748</v>
      </c>
    </row>
    <row r="29" spans="1:6" ht="46.5" x14ac:dyDescent="0.35">
      <c r="A29" s="41" t="s">
        <v>118</v>
      </c>
      <c r="B29" s="34" t="s">
        <v>108</v>
      </c>
      <c r="C29" s="34">
        <v>1</v>
      </c>
      <c r="D29" s="34">
        <v>5</v>
      </c>
      <c r="E29" s="40">
        <v>4.1900000000000004</v>
      </c>
      <c r="F29" s="40">
        <v>0.91300000000000003</v>
      </c>
    </row>
    <row r="30" spans="1:6" ht="31" x14ac:dyDescent="0.35">
      <c r="A30" s="41" t="s">
        <v>119</v>
      </c>
      <c r="B30" s="34" t="s">
        <v>109</v>
      </c>
      <c r="C30" s="34">
        <v>3</v>
      </c>
      <c r="D30" s="34">
        <v>5</v>
      </c>
      <c r="E30" s="40">
        <v>4.3899999999999997</v>
      </c>
      <c r="F30" s="40">
        <v>0.627</v>
      </c>
    </row>
    <row r="31" spans="1:6" ht="31" x14ac:dyDescent="0.35">
      <c r="A31" s="41" t="s">
        <v>120</v>
      </c>
      <c r="B31" s="34" t="s">
        <v>110</v>
      </c>
      <c r="C31" s="34">
        <v>1</v>
      </c>
      <c r="D31" s="34">
        <v>5</v>
      </c>
      <c r="E31" s="40">
        <v>4.26</v>
      </c>
      <c r="F31" s="40">
        <v>0.78200000000000003</v>
      </c>
    </row>
    <row r="32" spans="1:6" ht="31" x14ac:dyDescent="0.35">
      <c r="A32" s="41" t="s">
        <v>121</v>
      </c>
      <c r="B32" s="34" t="s">
        <v>111</v>
      </c>
      <c r="C32" s="34">
        <v>1</v>
      </c>
      <c r="D32" s="34">
        <v>5</v>
      </c>
      <c r="E32" s="40">
        <v>4.22</v>
      </c>
      <c r="F32" s="40">
        <v>0.79300000000000004</v>
      </c>
    </row>
    <row r="33" spans="1:6" ht="31" x14ac:dyDescent="0.35">
      <c r="A33" s="41" t="s">
        <v>122</v>
      </c>
      <c r="B33" s="34" t="s">
        <v>112</v>
      </c>
      <c r="C33" s="34">
        <v>3</v>
      </c>
      <c r="D33" s="34">
        <v>5</v>
      </c>
      <c r="E33" s="40">
        <v>4.3499999999999996</v>
      </c>
      <c r="F33" s="40">
        <v>0.67700000000000005</v>
      </c>
    </row>
    <row r="34" spans="1:6" ht="46.5" x14ac:dyDescent="0.35">
      <c r="A34" s="41" t="s">
        <v>123</v>
      </c>
      <c r="B34" s="34" t="s">
        <v>113</v>
      </c>
      <c r="C34" s="34">
        <v>3</v>
      </c>
      <c r="D34" s="34">
        <v>5</v>
      </c>
      <c r="E34" s="40">
        <v>4.6100000000000003</v>
      </c>
      <c r="F34" s="40">
        <v>0.56399999999999995</v>
      </c>
    </row>
    <row r="35" spans="1:6" ht="46.5" x14ac:dyDescent="0.35">
      <c r="A35" s="41" t="s">
        <v>124</v>
      </c>
      <c r="B35" s="34" t="s">
        <v>114</v>
      </c>
      <c r="C35" s="34">
        <v>1</v>
      </c>
      <c r="D35" s="34">
        <v>5</v>
      </c>
      <c r="E35" s="40">
        <v>4.1500000000000004</v>
      </c>
      <c r="F35" s="40">
        <v>0.85599999999999998</v>
      </c>
    </row>
    <row r="36" spans="1:6" ht="46.5" x14ac:dyDescent="0.35">
      <c r="A36" s="41" t="s">
        <v>125</v>
      </c>
      <c r="B36" s="34" t="s">
        <v>115</v>
      </c>
      <c r="C36" s="34">
        <v>2</v>
      </c>
      <c r="D36" s="34">
        <v>5</v>
      </c>
      <c r="E36" s="40">
        <v>4.3099999999999996</v>
      </c>
      <c r="F36" s="40">
        <v>0.748</v>
      </c>
    </row>
  </sheetData>
  <mergeCells count="10">
    <mergeCell ref="A2:A3"/>
    <mergeCell ref="A13:A14"/>
    <mergeCell ref="A21:A22"/>
    <mergeCell ref="A23:A24"/>
    <mergeCell ref="A25:A26"/>
    <mergeCell ref="A4:A6"/>
    <mergeCell ref="A7:A9"/>
    <mergeCell ref="A10:A12"/>
    <mergeCell ref="A15:A17"/>
    <mergeCell ref="A18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Validity Result</vt:lpstr>
      <vt:lpstr>Validity Table</vt:lpstr>
      <vt:lpstr>Reliability Result</vt:lpstr>
      <vt:lpstr>Reliability Table</vt:lpstr>
      <vt:lpstr>Descriptive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2025-06-28T14:22:08Z</dcterms:created>
  <dcterms:modified xsi:type="dcterms:W3CDTF">2025-06-30T14:11:30Z</dcterms:modified>
</cp:coreProperties>
</file>